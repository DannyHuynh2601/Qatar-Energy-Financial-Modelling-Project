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892ab04a6f0f17b/Desktop/UBC DAP/11.BUSI 414 - Data Visualization and Business Analytics/"/>
    </mc:Choice>
  </mc:AlternateContent>
  <xr:revisionPtr revIDLastSave="4" documentId="8_{2D457D81-2341-4963-B678-D8303C6F5AF6}" xr6:coauthVersionLast="47" xr6:coauthVersionMax="47" xr10:uidLastSave="{299D93E5-C031-454F-B9CF-B592C876B7FC}"/>
  <bookViews>
    <workbookView xWindow="-110" yWindow="-110" windowWidth="19420" windowHeight="10300" activeTab="1" xr2:uid="{D71F4929-143A-43B4-9D20-7C61E9595CB8}"/>
  </bookViews>
  <sheets>
    <sheet name="Cover Page" sheetId="16" r:id="rId1"/>
    <sheet name="Inputs" sheetId="1" r:id="rId2"/>
    <sheet name="Pipeline Schedule" sheetId="14" r:id="rId3"/>
    <sheet name="Tanker Schedule" sheetId="15" r:id="rId4"/>
    <sheet name="Cash Budget" sheetId="8" r:id="rId5"/>
    <sheet name="Statement of Income" sheetId="9" r:id="rId6"/>
    <sheet name="Statement of Financial Position" sheetId="10" r:id="rId7"/>
    <sheet name="NPV (Y2-Y31)" sheetId="17" r:id="rId8"/>
  </sheets>
  <definedNames>
    <definedName name="Annual_Depreciation_Tanker">'Tanker Schedule'!$B$9</definedName>
    <definedName name="Base_NG_Demand">Inputs!$F$42:$F$42</definedName>
    <definedName name="Building_Cost_Pipeline">Inputs!$B$42</definedName>
    <definedName name="Building_Cost_Tanker">Inputs!$B$58</definedName>
    <definedName name="Carbon_Offset_Tanker">Inputs!$B$69</definedName>
    <definedName name="Contract_Mgmt_Fees">Inputs!$B$43</definedName>
    <definedName name="Conv_Factor">Inputs!$F$58:$F$58</definedName>
    <definedName name="D_i_Y">Inputs!$B$16</definedName>
    <definedName name="Days_Apr">Inputs!$B$28:$B$28</definedName>
    <definedName name="Days_Aug">Inputs!$B$32:$B$32</definedName>
    <definedName name="Days_Dec">Inputs!$B$36:$B$36</definedName>
    <definedName name="Days_Feb">Inputs!$B$26:$B$26</definedName>
    <definedName name="Days_Jan">Inputs!$B$25:$B$25</definedName>
    <definedName name="Days_Jul">Inputs!$B$31:$B$31</definedName>
    <definedName name="Days_Jun">Inputs!$B$30:$B$30</definedName>
    <definedName name="Days_Mar">Inputs!$B$27:$B$27</definedName>
    <definedName name="Days_May">Inputs!$B$29:$B$29</definedName>
    <definedName name="Days_Nov">Inputs!$B$35:$B$35</definedName>
    <definedName name="Days_Oct">Inputs!$B$34:$B$34</definedName>
    <definedName name="Days_Sept">Inputs!$B$33:$B$33</definedName>
    <definedName name="Demand_Increase">Inputs!$F$18</definedName>
    <definedName name="Discount_Rate">Inputs!$F$23</definedName>
    <definedName name="Employee_Deduction_Rate">Inputs!$B$75:$B$75</definedName>
    <definedName name="Employer_Social_Insurance_Rate">Inputs!$B$74:$B$74</definedName>
    <definedName name="First_Yr">Inputs!$B$19:$B$19</definedName>
    <definedName name="Fuel_Pipeline">Inputs!$B$51</definedName>
    <definedName name="General_Main_Eng">Inputs!$B$50:$B$50</definedName>
    <definedName name="General_Pipeline">Inputs!$B$52</definedName>
    <definedName name="General_Tanker">Inputs!$B$63</definedName>
    <definedName name="Heavy_Fuel_Oil">Inputs!$B$66</definedName>
    <definedName name="Increment">Inputs!$B$14</definedName>
    <definedName name="Inflation_Annual">Inputs!$F$15</definedName>
    <definedName name="Inflation_Carbon_Offset">Inputs!$F$16</definedName>
    <definedName name="Insurance_Cov">Inputs!$F$65:$F$65</definedName>
    <definedName name="Insurance_Pipeline">Inputs!$B$48</definedName>
    <definedName name="Insurance_Tanker">Inputs!$B$62</definedName>
    <definedName name="LNG_Tanker_Cap">Inputs!$F$62:$F$62</definedName>
    <definedName name="Loan_Payment_Term">Inputs!$F$22</definedName>
    <definedName name="M_i_Y">Inputs!$B$15</definedName>
    <definedName name="Min_Cash_Balance">Inputs!$F$24</definedName>
    <definedName name="Nil">Inputs!$F$19:$F$19</definedName>
    <definedName name="Operating_Exp">Inputs!$B$68</definedName>
    <definedName name="Operations_Mgmt">Inputs!$B$49</definedName>
    <definedName name="Pipeline_TotalCost">Inputs!$B$44:$B$44</definedName>
    <definedName name="Port_Fees">Inputs!$B$65</definedName>
    <definedName name="Purch_price_LNG">Inputs!$F$60:$F$60</definedName>
    <definedName name="Purch_price_NG">Inputs!$F$43:$F$43</definedName>
    <definedName name="Salvage_Val_Pipeline">Inputs!$B$45</definedName>
    <definedName name="Salvage_Val_Tanker">Inputs!$B$59</definedName>
    <definedName name="SBU_Insurance">Inputs!$F$66:$F$66</definedName>
    <definedName name="Sell_price_LNG">Inputs!$F$61:$F$61</definedName>
    <definedName name="Sell_price_NG">Inputs!$F$44:$F$44</definedName>
    <definedName name="Set_Up_Year">Inputs!$B$17</definedName>
    <definedName name="Stores_Spares_Lube">Inputs!$B$64</definedName>
    <definedName name="Tons_Req_a_Trip">Inputs!$B$67</definedName>
    <definedName name="Total_Crew_Costs">Inputs!$B$72</definedName>
    <definedName name="Total_Years">Inputs!$B$20:$B$20</definedName>
    <definedName name="Useful_Life">Inputs!$F$27</definedName>
    <definedName name="Y3_Port_Repair">Inputs!$F$64:$F$64</definedName>
    <definedName name="Y5_Carbon_Increase">Inputs!$F$17:$F$17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6" l="1" a="1"/>
  <c r="D20" i="16" s="1"/>
  <c r="D19" i="16" a="1"/>
  <c r="D19" i="16" s="1"/>
  <c r="N10" i="8"/>
  <c r="D18" i="16"/>
  <c r="D17" i="16" l="1"/>
  <c r="B38" i="17"/>
  <c r="B39" i="17"/>
  <c r="B40" i="17"/>
  <c r="B13" i="17"/>
  <c r="B8" i="17" a="1"/>
  <c r="B8" i="17"/>
  <c r="B7" i="17" a="1"/>
  <c r="B7" i="17"/>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W29" i="8" a="1"/>
  <c r="W29" i="8" s="1"/>
  <c r="X29" i="8" a="1"/>
  <c r="X29" i="8"/>
  <c r="Y29" i="8" a="1"/>
  <c r="Y29" i="8"/>
  <c r="P29" i="8" a="1"/>
  <c r="P29" i="8" s="1"/>
  <c r="Q29" i="8" a="1"/>
  <c r="Q29" i="8" s="1"/>
  <c r="R29" i="8" a="1"/>
  <c r="R29" i="8" s="1"/>
  <c r="S29" i="8" a="1"/>
  <c r="S29" i="8" s="1"/>
  <c r="T29" i="8" a="1"/>
  <c r="T29" i="8" s="1"/>
  <c r="U29" i="8" a="1"/>
  <c r="U29" i="8" s="1"/>
  <c r="V29" i="8" a="1"/>
  <c r="V29" i="8" s="1"/>
  <c r="O29" i="8" a="1"/>
  <c r="O29" i="8" s="1"/>
  <c r="G82" i="15"/>
  <c r="G83" i="15" s="1"/>
  <c r="G84" i="15" s="1"/>
  <c r="G85" i="15" s="1"/>
  <c r="G86" i="15" s="1"/>
  <c r="G87" i="15" s="1"/>
  <c r="G88" i="15" s="1"/>
  <c r="G89" i="15" s="1"/>
  <c r="G90" i="15" s="1"/>
  <c r="G91" i="15" s="1"/>
  <c r="G92" i="15" s="1"/>
  <c r="G93" i="15" s="1"/>
  <c r="G94" i="15" s="1"/>
  <c r="G95" i="15" s="1"/>
  <c r="G96" i="15" s="1"/>
  <c r="G97" i="15" s="1"/>
  <c r="G98" i="15" s="1"/>
  <c r="G99" i="15" s="1"/>
  <c r="G100" i="15" s="1"/>
  <c r="G101" i="15" s="1"/>
  <c r="G102" i="15" s="1"/>
  <c r="G103" i="15" s="1"/>
  <c r="G104" i="15" s="1"/>
  <c r="G105" i="15" s="1"/>
  <c r="G106" i="15" s="1"/>
  <c r="G107" i="15" s="1"/>
  <c r="G108" i="15" s="1"/>
  <c r="G109" i="15" s="1"/>
  <c r="G110" i="15" s="1"/>
  <c r="G111" i="15" s="1"/>
  <c r="B82" i="15"/>
  <c r="O22" i="8" a="1"/>
  <c r="O22" i="8"/>
  <c r="E47" i="17"/>
  <c r="B49" i="17"/>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48" i="17"/>
  <c r="F47" i="17" a="1"/>
  <c r="F47" i="17" s="1"/>
  <c r="D47" i="17" a="1"/>
  <c r="D47" i="17" s="1"/>
  <c r="B47" i="17"/>
  <c r="C40" i="17"/>
  <c r="D40" i="17" s="1"/>
  <c r="E40" i="17" s="1"/>
  <c r="F40" i="17" s="1"/>
  <c r="G40" i="17" s="1"/>
  <c r="H40" i="17" s="1"/>
  <c r="I40" i="17" s="1"/>
  <c r="J40" i="17" s="1"/>
  <c r="K40" i="17" s="1"/>
  <c r="L40" i="17" s="1"/>
  <c r="M40" i="17" s="1"/>
  <c r="N40" i="17" s="1"/>
  <c r="O40" i="17" s="1"/>
  <c r="P40" i="17" s="1"/>
  <c r="Q40" i="17" s="1"/>
  <c r="R40" i="17" s="1"/>
  <c r="S40" i="17" s="1"/>
  <c r="T40" i="17" s="1"/>
  <c r="U40" i="17" s="1"/>
  <c r="V40" i="17" s="1"/>
  <c r="W40" i="17" s="1"/>
  <c r="X40" i="17" s="1"/>
  <c r="Y40" i="17" s="1"/>
  <c r="Z40" i="17" s="1"/>
  <c r="AA40" i="17" s="1"/>
  <c r="AB40" i="17" s="1"/>
  <c r="AC40" i="17" s="1"/>
  <c r="AD40" i="17" s="1"/>
  <c r="AE40" i="17" s="1"/>
  <c r="C38" i="17"/>
  <c r="B36" i="17"/>
  <c r="AE27" i="17"/>
  <c r="C39" i="17"/>
  <c r="D39" i="17" s="1"/>
  <c r="E39" i="17" s="1"/>
  <c r="F39" i="17" s="1"/>
  <c r="G39" i="17" s="1"/>
  <c r="H39" i="17" s="1"/>
  <c r="I39" i="17" s="1"/>
  <c r="J39" i="17" s="1"/>
  <c r="K39" i="17" s="1"/>
  <c r="L39" i="17" s="1"/>
  <c r="M39" i="17" s="1"/>
  <c r="N39" i="17" s="1"/>
  <c r="O39" i="17" s="1"/>
  <c r="P39" i="17" s="1"/>
  <c r="Q39" i="17" s="1"/>
  <c r="R39" i="17" s="1"/>
  <c r="S39" i="17" s="1"/>
  <c r="T39" i="17" s="1"/>
  <c r="U39" i="17" s="1"/>
  <c r="V39" i="17" s="1"/>
  <c r="W39" i="17" s="1"/>
  <c r="X39" i="17" s="1"/>
  <c r="Y39" i="17" s="1"/>
  <c r="Z39" i="17" s="1"/>
  <c r="AA39" i="17" s="1"/>
  <c r="AB39" i="17" s="1"/>
  <c r="AC39" i="17" s="1"/>
  <c r="AD39" i="17" s="1"/>
  <c r="AE39" i="17" s="1"/>
  <c r="AD27" i="17" a="1"/>
  <c r="AD27" i="17" s="1"/>
  <c r="AC27" i="17" a="1"/>
  <c r="AC27" i="17" s="1"/>
  <c r="AB27" i="17" a="1"/>
  <c r="AB27" i="17" s="1"/>
  <c r="AA27" i="17" a="1"/>
  <c r="AA27" i="17" s="1"/>
  <c r="Z27" i="17" a="1"/>
  <c r="Z27" i="17" s="1"/>
  <c r="Y27" i="17" a="1"/>
  <c r="Y27" i="17" s="1"/>
  <c r="X27" i="17" a="1"/>
  <c r="X27" i="17" s="1"/>
  <c r="W27" i="17" a="1"/>
  <c r="W27" i="17" s="1"/>
  <c r="V27" i="17" a="1"/>
  <c r="V27" i="17" s="1"/>
  <c r="U27" i="17" a="1"/>
  <c r="U27" i="17" s="1"/>
  <c r="T27" i="17" a="1"/>
  <c r="T27" i="17" s="1"/>
  <c r="S27" i="17" a="1"/>
  <c r="S27" i="17" s="1"/>
  <c r="R27" i="17" a="1"/>
  <c r="R27" i="17" s="1"/>
  <c r="Q27" i="17" a="1"/>
  <c r="Q27" i="17" s="1"/>
  <c r="P27" i="17" a="1"/>
  <c r="P27" i="17" s="1"/>
  <c r="O27" i="17" a="1"/>
  <c r="O27" i="17" s="1"/>
  <c r="N27" i="17" a="1"/>
  <c r="N27" i="17" s="1"/>
  <c r="M27" i="17" a="1"/>
  <c r="M27" i="17" s="1"/>
  <c r="L27" i="17" a="1"/>
  <c r="L27" i="17" s="1"/>
  <c r="K27" i="17" a="1"/>
  <c r="K27" i="17" s="1"/>
  <c r="J27" i="17" a="1"/>
  <c r="J27" i="17" s="1"/>
  <c r="I27" i="17" a="1"/>
  <c r="I27" i="17" s="1"/>
  <c r="H27" i="17" a="1"/>
  <c r="H27" i="17" s="1"/>
  <c r="G27" i="17" a="1"/>
  <c r="G27" i="17" s="1"/>
  <c r="F27" i="17" a="1"/>
  <c r="F27" i="17" s="1"/>
  <c r="E27" i="17" a="1"/>
  <c r="E27" i="17" s="1"/>
  <c r="D27" i="17" a="1"/>
  <c r="D27" i="17" s="1"/>
  <c r="C27" i="17" a="1"/>
  <c r="C27" i="17" s="1"/>
  <c r="B27" i="17" a="1"/>
  <c r="B27" i="17" s="1"/>
  <c r="B16" i="17" a="1"/>
  <c r="B16" i="17"/>
  <c r="B17" i="17"/>
  <c r="C17" i="17" s="1"/>
  <c r="D17" i="17" s="1"/>
  <c r="E17" i="17" s="1"/>
  <c r="F17" i="17" s="1"/>
  <c r="G17" i="17" s="1"/>
  <c r="H17" i="17" s="1"/>
  <c r="I17" i="17" s="1"/>
  <c r="J17" i="17" s="1"/>
  <c r="K17" i="17" s="1"/>
  <c r="L17" i="17" s="1"/>
  <c r="M17" i="17" s="1"/>
  <c r="N17" i="17" s="1"/>
  <c r="O17" i="17" s="1"/>
  <c r="P17" i="17" s="1"/>
  <c r="Q17" i="17" s="1"/>
  <c r="R17" i="17" s="1"/>
  <c r="S17" i="17" s="1"/>
  <c r="T17" i="17" s="1"/>
  <c r="U17" i="17" s="1"/>
  <c r="V17" i="17" s="1"/>
  <c r="W17" i="17" s="1"/>
  <c r="X17" i="17" s="1"/>
  <c r="Y17" i="17" s="1"/>
  <c r="Z17" i="17" s="1"/>
  <c r="AA17" i="17" s="1"/>
  <c r="AB17" i="17" s="1"/>
  <c r="AC17" i="17" s="1"/>
  <c r="AD17" i="17" s="1"/>
  <c r="AE17" i="17" s="1"/>
  <c r="C16" i="17"/>
  <c r="D16" i="17" s="1"/>
  <c r="E16" i="17" s="1"/>
  <c r="F16" i="17" s="1"/>
  <c r="G16" i="17" s="1"/>
  <c r="H16" i="17" s="1"/>
  <c r="I16" i="17" s="1"/>
  <c r="J16" i="17" s="1"/>
  <c r="K16" i="17" s="1"/>
  <c r="L16" i="17" s="1"/>
  <c r="M16" i="17" s="1"/>
  <c r="N16" i="17" s="1"/>
  <c r="O16" i="17" s="1"/>
  <c r="P16" i="17" s="1"/>
  <c r="Q16" i="17" s="1"/>
  <c r="R16" i="17" s="1"/>
  <c r="S16" i="17" s="1"/>
  <c r="T16" i="17" s="1"/>
  <c r="U16" i="17" s="1"/>
  <c r="V16" i="17" s="1"/>
  <c r="W16" i="17" s="1"/>
  <c r="X16" i="17" s="1"/>
  <c r="Y16" i="17" s="1"/>
  <c r="Z16" i="17" s="1"/>
  <c r="AA16" i="17" s="1"/>
  <c r="AB16" i="17" s="1"/>
  <c r="AC16" i="17" s="1"/>
  <c r="AD16" i="17" s="1"/>
  <c r="AE16" i="17" s="1"/>
  <c r="B14" i="17"/>
  <c r="C14" i="17" s="1"/>
  <c r="D14" i="17" s="1"/>
  <c r="E14" i="17" s="1"/>
  <c r="F14" i="17" s="1"/>
  <c r="G14" i="17" s="1"/>
  <c r="H14" i="17" s="1"/>
  <c r="I14" i="17" s="1"/>
  <c r="J14" i="17" s="1"/>
  <c r="K14" i="17" s="1"/>
  <c r="L14" i="17" s="1"/>
  <c r="M14" i="17" s="1"/>
  <c r="N14" i="17" s="1"/>
  <c r="O14" i="17" s="1"/>
  <c r="P14" i="17" s="1"/>
  <c r="Q14" i="17" s="1"/>
  <c r="R14" i="17" s="1"/>
  <c r="S14" i="17" s="1"/>
  <c r="T14" i="17" s="1"/>
  <c r="U14" i="17" s="1"/>
  <c r="V14" i="17" s="1"/>
  <c r="W14" i="17" s="1"/>
  <c r="X14" i="17" s="1"/>
  <c r="Y14" i="17" s="1"/>
  <c r="Z14" i="17" s="1"/>
  <c r="AA14" i="17" s="1"/>
  <c r="AB14" i="17" s="1"/>
  <c r="AC14" i="17" s="1"/>
  <c r="AD14" i="17" s="1"/>
  <c r="AE14" i="17" s="1"/>
  <c r="C9" i="17" a="1"/>
  <c r="C9" i="17"/>
  <c r="D9" i="17" a="1"/>
  <c r="D9" i="17"/>
  <c r="E9" i="17" a="1"/>
  <c r="E9" i="17"/>
  <c r="F9" i="17" a="1"/>
  <c r="F9" i="17"/>
  <c r="G9" i="17" a="1"/>
  <c r="G9" i="17"/>
  <c r="H9" i="17" a="1"/>
  <c r="H9" i="17"/>
  <c r="I9" i="17" a="1"/>
  <c r="I9" i="17"/>
  <c r="J9" i="17" a="1"/>
  <c r="J9" i="17"/>
  <c r="K9" i="17" a="1"/>
  <c r="K9" i="17"/>
  <c r="L9" i="17" a="1"/>
  <c r="L9" i="17"/>
  <c r="M9" i="17" a="1"/>
  <c r="M9" i="17"/>
  <c r="N9" i="17" a="1"/>
  <c r="N9" i="17"/>
  <c r="O9" i="17" a="1"/>
  <c r="O9" i="17"/>
  <c r="P9" i="17" a="1"/>
  <c r="P9" i="17"/>
  <c r="Q9" i="17" a="1"/>
  <c r="Q9" i="17"/>
  <c r="R9" i="17" a="1"/>
  <c r="R9" i="17"/>
  <c r="S9" i="17" a="1"/>
  <c r="S9" i="17"/>
  <c r="T9" i="17" a="1"/>
  <c r="T9" i="17"/>
  <c r="U9" i="17" a="1"/>
  <c r="U9" i="17"/>
  <c r="V9" i="17" a="1"/>
  <c r="V9" i="17"/>
  <c r="W9" i="17" a="1"/>
  <c r="W9" i="17"/>
  <c r="X9" i="17" a="1"/>
  <c r="X9" i="17"/>
  <c r="Y9" i="17" a="1"/>
  <c r="Y9" i="17"/>
  <c r="Z9" i="17" a="1"/>
  <c r="Z9" i="17"/>
  <c r="AA9" i="17" a="1"/>
  <c r="AA9" i="17"/>
  <c r="AB9" i="17" a="1"/>
  <c r="AB9" i="17"/>
  <c r="AC9" i="17" a="1"/>
  <c r="AC9" i="17"/>
  <c r="AD9" i="17" a="1"/>
  <c r="AD9" i="17"/>
  <c r="B9" i="17" a="1"/>
  <c r="B9" i="17"/>
  <c r="AE9" i="17"/>
  <c r="AD24" i="9" a="1"/>
  <c r="AD24" i="9"/>
  <c r="AC24" i="9" a="1"/>
  <c r="AC24" i="9"/>
  <c r="Z24" i="9" a="1"/>
  <c r="Z24" i="9"/>
  <c r="Y24" i="9" a="1"/>
  <c r="Y24" i="9"/>
  <c r="X24" i="9" a="1"/>
  <c r="X24" i="9"/>
  <c r="W24" i="9" a="1"/>
  <c r="W24" i="9"/>
  <c r="V24" i="9" a="1"/>
  <c r="V24" i="9"/>
  <c r="U24" i="9" a="1"/>
  <c r="U24" i="9"/>
  <c r="T24" i="9" a="1"/>
  <c r="T24" i="9"/>
  <c r="S24" i="9" a="1"/>
  <c r="S24" i="9"/>
  <c r="R24" i="9" a="1"/>
  <c r="R24" i="9"/>
  <c r="Q24" i="9" a="1"/>
  <c r="Q24" i="9"/>
  <c r="P24" i="9" a="1"/>
  <c r="P24" i="9"/>
  <c r="O24" i="9" a="1"/>
  <c r="O24" i="9"/>
  <c r="AA24" i="9"/>
  <c r="M24" i="9" a="1"/>
  <c r="M24" i="9"/>
  <c r="L24" i="9" a="1"/>
  <c r="L24" i="9"/>
  <c r="K24" i="9" a="1"/>
  <c r="K24" i="9"/>
  <c r="J24" i="9" a="1"/>
  <c r="J24" i="9"/>
  <c r="I24" i="9" a="1"/>
  <c r="I24" i="9"/>
  <c r="H24" i="9" a="1"/>
  <c r="H24" i="9"/>
  <c r="G24" i="9" a="1"/>
  <c r="G24" i="9"/>
  <c r="F24" i="9" a="1"/>
  <c r="F24" i="9"/>
  <c r="E24" i="9" a="1"/>
  <c r="E24" i="9"/>
  <c r="D24" i="9" a="1"/>
  <c r="D24" i="9"/>
  <c r="C24" i="9" a="1"/>
  <c r="C24" i="9"/>
  <c r="B24" i="9" a="1"/>
  <c r="B24" i="9"/>
  <c r="N24" i="9"/>
  <c r="AB24" i="9" a="1"/>
  <c r="AB24" i="9"/>
  <c r="AB23" i="9" a="1"/>
  <c r="AB23" i="9"/>
  <c r="A13" i="15"/>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P21" i="9"/>
  <c r="Q21" i="9"/>
  <c r="R21" i="9"/>
  <c r="S21" i="9"/>
  <c r="T21" i="9"/>
  <c r="U21" i="9"/>
  <c r="V21" i="9"/>
  <c r="W21" i="9"/>
  <c r="X21" i="9"/>
  <c r="Y21" i="9"/>
  <c r="Z21" i="9"/>
  <c r="O21" i="9"/>
  <c r="AA21" i="9" s="1"/>
  <c r="AB21" i="9" s="1"/>
  <c r="AC21" i="9" s="1"/>
  <c r="AD21" i="9" s="1" a="1"/>
  <c r="AD21" i="9" s="1"/>
  <c r="P20" i="9"/>
  <c r="Q20" i="9"/>
  <c r="R20" i="9"/>
  <c r="S20" i="9"/>
  <c r="T20" i="9"/>
  <c r="U20" i="9"/>
  <c r="V20" i="9"/>
  <c r="W20" i="9"/>
  <c r="X20" i="9"/>
  <c r="Y20" i="9"/>
  <c r="Z20" i="9"/>
  <c r="O20" i="9"/>
  <c r="AA20" i="9" s="1"/>
  <c r="AB20" i="9" s="1"/>
  <c r="AC20" i="9" s="1"/>
  <c r="AD20" i="9" s="1"/>
  <c r="P19" i="9"/>
  <c r="Q19" i="9"/>
  <c r="R19" i="9"/>
  <c r="S19" i="9"/>
  <c r="T19" i="9"/>
  <c r="U19" i="9"/>
  <c r="V19" i="9"/>
  <c r="W19" i="9"/>
  <c r="X19" i="9"/>
  <c r="Y19" i="9"/>
  <c r="Z19" i="9"/>
  <c r="O19" i="9"/>
  <c r="AA19" i="9" s="1"/>
  <c r="AB19" i="9" s="1"/>
  <c r="AC19" i="9" s="1"/>
  <c r="AD19" i="9" s="1"/>
  <c r="P16" i="9"/>
  <c r="Q16" i="9"/>
  <c r="R16" i="9"/>
  <c r="S16" i="9"/>
  <c r="T16" i="9"/>
  <c r="U16" i="9"/>
  <c r="V16" i="9"/>
  <c r="W16" i="9"/>
  <c r="X16" i="9"/>
  <c r="Y16" i="9"/>
  <c r="Z16" i="9"/>
  <c r="O16" i="9"/>
  <c r="AA16" i="9" s="1"/>
  <c r="AB16" i="9" s="1"/>
  <c r="AC16" i="9" s="1"/>
  <c r="AD16" i="9" s="1"/>
  <c r="L30" i="9" a="1"/>
  <c r="L30" i="9"/>
  <c r="M30" i="9" a="1"/>
  <c r="M30" i="9"/>
  <c r="C30" i="9" a="1"/>
  <c r="C30" i="9"/>
  <c r="D30" i="9" a="1"/>
  <c r="D30" i="9"/>
  <c r="E30" i="9" a="1"/>
  <c r="E30" i="9"/>
  <c r="F30" i="9" a="1"/>
  <c r="F30" i="9"/>
  <c r="G30" i="9" a="1"/>
  <c r="G30" i="9"/>
  <c r="H30" i="9" a="1"/>
  <c r="H30" i="9"/>
  <c r="I30" i="9" a="1"/>
  <c r="I30" i="9"/>
  <c r="J30" i="9" a="1"/>
  <c r="J30" i="9"/>
  <c r="K30" i="9" a="1"/>
  <c r="K30" i="9"/>
  <c r="B30" i="9" a="1"/>
  <c r="B30" i="9"/>
  <c r="N30" i="9" s="1"/>
  <c r="C9" i="8" a="1"/>
  <c r="C9" i="8"/>
  <c r="D9" i="8" a="1"/>
  <c r="D9" i="8"/>
  <c r="E9" i="8" a="1"/>
  <c r="E9" i="8"/>
  <c r="F9" i="8" a="1"/>
  <c r="F9" i="8"/>
  <c r="G9" i="8" a="1"/>
  <c r="G9" i="8"/>
  <c r="H9" i="8" a="1"/>
  <c r="H9" i="8"/>
  <c r="I9" i="8" a="1"/>
  <c r="I9" i="8"/>
  <c r="J9" i="8" a="1"/>
  <c r="J9" i="8"/>
  <c r="K9" i="8" a="1"/>
  <c r="K9" i="8"/>
  <c r="L9" i="8" a="1"/>
  <c r="L9" i="8"/>
  <c r="M9" i="8" a="1"/>
  <c r="M9" i="8"/>
  <c r="B9" i="8" a="1"/>
  <c r="B9" i="8"/>
  <c r="O20" i="8"/>
  <c r="P23" i="8"/>
  <c r="Q23" i="8"/>
  <c r="R23" i="8"/>
  <c r="S23" i="8"/>
  <c r="T23" i="8"/>
  <c r="U23" i="8"/>
  <c r="V23" i="8"/>
  <c r="W23" i="8"/>
  <c r="X23" i="8"/>
  <c r="Y23" i="8"/>
  <c r="Z23" i="8"/>
  <c r="O23" i="8"/>
  <c r="P24" i="8"/>
  <c r="Q24" i="8"/>
  <c r="R24" i="8"/>
  <c r="S24" i="8"/>
  <c r="T24" i="8"/>
  <c r="U24" i="8"/>
  <c r="V24" i="8"/>
  <c r="W24" i="8"/>
  <c r="X24" i="8"/>
  <c r="Y24" i="8"/>
  <c r="Z24" i="8"/>
  <c r="O24" i="8"/>
  <c r="P25" i="8"/>
  <c r="Q25" i="8"/>
  <c r="R25" i="8"/>
  <c r="S25" i="8"/>
  <c r="T25" i="8"/>
  <c r="U25" i="8"/>
  <c r="V25" i="8"/>
  <c r="W25" i="8"/>
  <c r="X25" i="8"/>
  <c r="Y25" i="8"/>
  <c r="Z25" i="8"/>
  <c r="O25" i="8"/>
  <c r="AB27" i="8" a="1"/>
  <c r="AB27" i="8"/>
  <c r="H116" i="15" a="1"/>
  <c r="H116" i="15"/>
  <c r="O18" i="8" a="1"/>
  <c r="O18" i="8"/>
  <c r="O17" i="8" a="1"/>
  <c r="O17" i="8"/>
  <c r="O16" i="8" a="1"/>
  <c r="O16" i="8"/>
  <c r="Z13" i="8" a="1"/>
  <c r="Z13" i="8"/>
  <c r="W13" i="8" a="1"/>
  <c r="W13" i="8"/>
  <c r="X13" i="8" a="1"/>
  <c r="X13" i="8"/>
  <c r="Y13" i="8" a="1"/>
  <c r="Y13" i="8"/>
  <c r="P13" i="8" a="1"/>
  <c r="P13" i="8"/>
  <c r="Q13" i="8" a="1"/>
  <c r="Q13" i="8"/>
  <c r="R13" i="8" a="1"/>
  <c r="R13" i="8"/>
  <c r="S13" i="8" a="1"/>
  <c r="S13" i="8"/>
  <c r="T13" i="8" a="1"/>
  <c r="T13" i="8"/>
  <c r="U13" i="8" a="1"/>
  <c r="U13" i="8"/>
  <c r="V13" i="8" a="1"/>
  <c r="V13" i="8"/>
  <c r="O13" i="8" a="1"/>
  <c r="O13" i="8"/>
  <c r="B13" i="8"/>
  <c r="M27" i="8" a="1"/>
  <c r="M27" i="8"/>
  <c r="L27" i="8" a="1"/>
  <c r="L27" i="8"/>
  <c r="K27" i="8" a="1"/>
  <c r="K27" i="8"/>
  <c r="J27" i="8" a="1"/>
  <c r="J27" i="8"/>
  <c r="I27" i="8" a="1"/>
  <c r="I27" i="8"/>
  <c r="H27" i="8" a="1"/>
  <c r="H27" i="8"/>
  <c r="G27" i="8" a="1"/>
  <c r="G27" i="8"/>
  <c r="F27" i="8" a="1"/>
  <c r="F27" i="8"/>
  <c r="E27" i="8" a="1"/>
  <c r="E27" i="8"/>
  <c r="D27" i="8" a="1"/>
  <c r="D27" i="8"/>
  <c r="C27" i="8" a="1"/>
  <c r="C27" i="8"/>
  <c r="M25" i="8" a="1"/>
  <c r="M25" i="8"/>
  <c r="L25" i="8" a="1"/>
  <c r="L25" i="8"/>
  <c r="K25" i="8" a="1"/>
  <c r="K25" i="8"/>
  <c r="J25" i="8" a="1"/>
  <c r="J25" i="8"/>
  <c r="I25" i="8" a="1"/>
  <c r="I25" i="8"/>
  <c r="H25" i="8" a="1"/>
  <c r="H25" i="8"/>
  <c r="G25" i="8" a="1"/>
  <c r="G25" i="8"/>
  <c r="F25" i="8" a="1"/>
  <c r="F25" i="8"/>
  <c r="E25" i="8" a="1"/>
  <c r="E25" i="8"/>
  <c r="D25" i="8" a="1"/>
  <c r="D25" i="8"/>
  <c r="C25" i="8" a="1"/>
  <c r="C25" i="8"/>
  <c r="M24" i="8" a="1"/>
  <c r="M24" i="8"/>
  <c r="L24" i="8" a="1"/>
  <c r="L24" i="8"/>
  <c r="K24" i="8" a="1"/>
  <c r="K24" i="8"/>
  <c r="J24" i="8" a="1"/>
  <c r="J24" i="8"/>
  <c r="I24" i="8" a="1"/>
  <c r="I24" i="8"/>
  <c r="H24" i="8" a="1"/>
  <c r="H24" i="8"/>
  <c r="G24" i="8" a="1"/>
  <c r="G24" i="8"/>
  <c r="F24" i="8" a="1"/>
  <c r="F24" i="8"/>
  <c r="E24" i="8" a="1"/>
  <c r="E24" i="8"/>
  <c r="D24" i="8" a="1"/>
  <c r="D24" i="8"/>
  <c r="C24" i="8" a="1"/>
  <c r="C24" i="8"/>
  <c r="M23" i="8" a="1"/>
  <c r="M23" i="8"/>
  <c r="L23" i="8" a="1"/>
  <c r="L23" i="8"/>
  <c r="K23" i="8" a="1"/>
  <c r="K23" i="8"/>
  <c r="J23" i="8" a="1"/>
  <c r="J23" i="8"/>
  <c r="I23" i="8" a="1"/>
  <c r="I23" i="8"/>
  <c r="H23" i="8" a="1"/>
  <c r="H23" i="8"/>
  <c r="G23" i="8" a="1"/>
  <c r="G23" i="8"/>
  <c r="F23" i="8" a="1"/>
  <c r="F23" i="8"/>
  <c r="E23" i="8" a="1"/>
  <c r="E23" i="8"/>
  <c r="D23" i="8" a="1"/>
  <c r="D23" i="8"/>
  <c r="C23" i="8" a="1"/>
  <c r="C23" i="8"/>
  <c r="M21" i="8" a="1"/>
  <c r="M21" i="8"/>
  <c r="L21" i="8" a="1"/>
  <c r="L21" i="8"/>
  <c r="K21" i="8" a="1"/>
  <c r="K21" i="8"/>
  <c r="J21" i="8" a="1"/>
  <c r="J21" i="8"/>
  <c r="I21" i="8" a="1"/>
  <c r="I21" i="8"/>
  <c r="H21" i="8" a="1"/>
  <c r="H21" i="8"/>
  <c r="G21" i="8" a="1"/>
  <c r="G21" i="8"/>
  <c r="F21" i="8" a="1"/>
  <c r="F21" i="8"/>
  <c r="E21" i="8" a="1"/>
  <c r="E21" i="8"/>
  <c r="D21" i="8" a="1"/>
  <c r="D21" i="8"/>
  <c r="C21" i="8" a="1"/>
  <c r="C21" i="8"/>
  <c r="M20" i="8" a="1"/>
  <c r="M20" i="8"/>
  <c r="L20" i="8" a="1"/>
  <c r="L20" i="8"/>
  <c r="K20" i="8" a="1"/>
  <c r="K20" i="8"/>
  <c r="J20" i="8" a="1"/>
  <c r="J20" i="8"/>
  <c r="I20" i="8" a="1"/>
  <c r="I20" i="8"/>
  <c r="H20" i="8" a="1"/>
  <c r="H20" i="8"/>
  <c r="G20" i="8" a="1"/>
  <c r="G20" i="8"/>
  <c r="F20" i="8" a="1"/>
  <c r="F20" i="8"/>
  <c r="E20" i="8" a="1"/>
  <c r="E20" i="8"/>
  <c r="D20" i="8" a="1"/>
  <c r="D20" i="8"/>
  <c r="C20" i="8" a="1"/>
  <c r="C20" i="8"/>
  <c r="B27" i="8" a="1"/>
  <c r="B27" i="8"/>
  <c r="B25" i="8" a="1"/>
  <c r="B25" i="8"/>
  <c r="B24" i="8" a="1"/>
  <c r="B24" i="8"/>
  <c r="B23" i="8" a="1"/>
  <c r="B23" i="8"/>
  <c r="B21" i="8" a="1"/>
  <c r="B21" i="8"/>
  <c r="B20" i="8" a="1"/>
  <c r="B20" i="8"/>
  <c r="M18" i="8" a="1"/>
  <c r="M18" i="8"/>
  <c r="L18" i="8" a="1"/>
  <c r="L18" i="8"/>
  <c r="K18" i="8" a="1"/>
  <c r="K18" i="8"/>
  <c r="J18" i="8" a="1"/>
  <c r="J18" i="8"/>
  <c r="I18" i="8" a="1"/>
  <c r="I18" i="8"/>
  <c r="H18" i="8" a="1"/>
  <c r="H18" i="8"/>
  <c r="G18" i="8" a="1"/>
  <c r="G18" i="8"/>
  <c r="F18" i="8" a="1"/>
  <c r="F18" i="8"/>
  <c r="E18" i="8" a="1"/>
  <c r="E18" i="8"/>
  <c r="D18" i="8" a="1"/>
  <c r="D18" i="8"/>
  <c r="C18" i="8" a="1"/>
  <c r="C18" i="8"/>
  <c r="M17" i="8" a="1"/>
  <c r="M17" i="8"/>
  <c r="L17" i="8" a="1"/>
  <c r="L17" i="8"/>
  <c r="K17" i="8" a="1"/>
  <c r="K17" i="8"/>
  <c r="J17" i="8" a="1"/>
  <c r="J17" i="8"/>
  <c r="I17" i="8" a="1"/>
  <c r="I17" i="8"/>
  <c r="H17" i="8" a="1"/>
  <c r="H17" i="8"/>
  <c r="G17" i="8" a="1"/>
  <c r="G17" i="8"/>
  <c r="F17" i="8" a="1"/>
  <c r="F17" i="8"/>
  <c r="E17" i="8" a="1"/>
  <c r="E17" i="8"/>
  <c r="D17" i="8" a="1"/>
  <c r="D17" i="8"/>
  <c r="C17" i="8" a="1"/>
  <c r="C17" i="8"/>
  <c r="M16" i="8" a="1"/>
  <c r="M16" i="8"/>
  <c r="L16" i="8" a="1"/>
  <c r="L16" i="8"/>
  <c r="K16" i="8" a="1"/>
  <c r="K16" i="8"/>
  <c r="J16" i="8" a="1"/>
  <c r="J16" i="8"/>
  <c r="I16" i="8" a="1"/>
  <c r="I16" i="8"/>
  <c r="H16" i="8" a="1"/>
  <c r="H16" i="8"/>
  <c r="G16" i="8" a="1"/>
  <c r="G16" i="8"/>
  <c r="F16" i="8" a="1"/>
  <c r="F16" i="8"/>
  <c r="E16" i="8" a="1"/>
  <c r="E16" i="8"/>
  <c r="D16" i="8" a="1"/>
  <c r="D16" i="8"/>
  <c r="C16" i="8" a="1"/>
  <c r="C16" i="8"/>
  <c r="M15" i="8" a="1"/>
  <c r="M15" i="8"/>
  <c r="L15" i="8" a="1"/>
  <c r="L15" i="8"/>
  <c r="K15" i="8" a="1"/>
  <c r="K15" i="8"/>
  <c r="J15" i="8" a="1"/>
  <c r="J15" i="8"/>
  <c r="I15" i="8" a="1"/>
  <c r="I15" i="8"/>
  <c r="H15" i="8" a="1"/>
  <c r="H15" i="8"/>
  <c r="G15" i="8" a="1"/>
  <c r="G15" i="8"/>
  <c r="F15" i="8" a="1"/>
  <c r="F15" i="8"/>
  <c r="E15" i="8" a="1"/>
  <c r="E15" i="8"/>
  <c r="D15" i="8" a="1"/>
  <c r="D15" i="8"/>
  <c r="C15" i="8" a="1"/>
  <c r="C15" i="8"/>
  <c r="B18" i="8" a="1"/>
  <c r="B18" i="8"/>
  <c r="B17" i="8" a="1"/>
  <c r="B17" i="8"/>
  <c r="B16" i="8" a="1"/>
  <c r="B16" i="8"/>
  <c r="B15" i="8" a="1"/>
  <c r="B15" i="8"/>
  <c r="C10" i="10"/>
  <c r="D10" i="10"/>
  <c r="E10" i="10"/>
  <c r="F10" i="10"/>
  <c r="B10" i="10"/>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49" i="15"/>
  <c r="A150" i="15" s="1"/>
  <c r="B150" i="15" s="1" a="1"/>
  <c r="B150" i="15" s="1"/>
  <c r="F115" i="15"/>
  <c r="F116" i="15" s="1"/>
  <c r="G116" i="15" s="1" a="1"/>
  <c r="G116" i="15" s="1"/>
  <c r="A115" i="15"/>
  <c r="A116" i="15" s="1"/>
  <c r="B116" i="15" s="1" a="1"/>
  <c r="B116" i="15" s="1"/>
  <c r="F81" i="15"/>
  <c r="F82" i="15" s="1"/>
  <c r="A81" i="15"/>
  <c r="A82" i="15" s="1"/>
  <c r="B83" i="15" l="1"/>
  <c r="B84" i="15" s="1"/>
  <c r="B85" i="15" s="1"/>
  <c r="B86" i="15" s="1"/>
  <c r="B87" i="15" s="1"/>
  <c r="B88" i="15" s="1"/>
  <c r="B89" i="15" s="1"/>
  <c r="B90" i="15" s="1"/>
  <c r="B91" i="15" s="1"/>
  <c r="B92" i="15" s="1"/>
  <c r="B93" i="15" s="1"/>
  <c r="B94" i="15" s="1"/>
  <c r="B95" i="15" s="1"/>
  <c r="B96" i="15" s="1"/>
  <c r="B97" i="15" s="1"/>
  <c r="B98" i="15" s="1"/>
  <c r="B99" i="15" s="1"/>
  <c r="B100" i="15" s="1"/>
  <c r="B101" i="15" s="1"/>
  <c r="B102" i="15" s="1"/>
  <c r="B103" i="15" s="1"/>
  <c r="B104" i="15" s="1"/>
  <c r="B105" i="15" s="1"/>
  <c r="B106" i="15" s="1"/>
  <c r="B107" i="15" s="1"/>
  <c r="B108" i="15" s="1"/>
  <c r="B109" i="15" s="1"/>
  <c r="B110" i="15" s="1"/>
  <c r="B111" i="15" s="1"/>
  <c r="D38" i="17"/>
  <c r="C13" i="17"/>
  <c r="C36" i="17"/>
  <c r="A151" i="15"/>
  <c r="B151" i="15" s="1" a="1"/>
  <c r="B151" i="15" s="1"/>
  <c r="F117" i="15"/>
  <c r="G117" i="15" s="1" a="1"/>
  <c r="G117" i="15" s="1"/>
  <c r="A117" i="15"/>
  <c r="B117" i="15" s="1" a="1"/>
  <c r="B117" i="15" s="1"/>
  <c r="A83" i="15"/>
  <c r="C83" i="15" s="1" a="1"/>
  <c r="C83" i="15" s="1"/>
  <c r="C82" i="15" a="1"/>
  <c r="C82" i="15" s="1"/>
  <c r="D82" i="15" s="1"/>
  <c r="F83" i="15"/>
  <c r="H82" i="15" a="1"/>
  <c r="H82" i="15" s="1"/>
  <c r="A84" i="15"/>
  <c r="C84" i="15" s="1" a="1"/>
  <c r="C84" i="15" s="1"/>
  <c r="B84" i="14"/>
  <c r="B85" i="14" s="1"/>
  <c r="A83" i="14"/>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F48" i="14"/>
  <c r="F49" i="14" s="1"/>
  <c r="AD13" i="8" a="1"/>
  <c r="AD13" i="8" s="1"/>
  <c r="AC13" i="8" a="1"/>
  <c r="AC13" i="8" s="1"/>
  <c r="AB13" i="8" a="1"/>
  <c r="AB13" i="8" s="1"/>
  <c r="AD8" i="8" a="1"/>
  <c r="AD8" i="8" s="1"/>
  <c r="AC8" i="8" a="1"/>
  <c r="AC8" i="8" s="1"/>
  <c r="AB8" i="8" a="1"/>
  <c r="AB8" i="8" s="1"/>
  <c r="B7" i="8" a="1"/>
  <c r="B7" i="8" s="1"/>
  <c r="N7" i="8" s="1"/>
  <c r="C13" i="8"/>
  <c r="D13" i="8"/>
  <c r="E13" i="8"/>
  <c r="F13" i="8"/>
  <c r="G13" i="8"/>
  <c r="H13" i="8"/>
  <c r="I13" i="8"/>
  <c r="J13" i="8"/>
  <c r="K13" i="8"/>
  <c r="L13" i="8"/>
  <c r="M13" i="8"/>
  <c r="Z27" i="8" a="1"/>
  <c r="Z27" i="8" s="1"/>
  <c r="Y27" i="8" a="1"/>
  <c r="Y27" i="8" s="1"/>
  <c r="X27" i="8" a="1"/>
  <c r="X27" i="8" s="1"/>
  <c r="W27" i="8" a="1"/>
  <c r="W27" i="8" s="1"/>
  <c r="V27" i="8" a="1"/>
  <c r="V27" i="8" s="1"/>
  <c r="U27" i="8" a="1"/>
  <c r="U27" i="8"/>
  <c r="T27" i="8" a="1"/>
  <c r="T27" i="8" s="1"/>
  <c r="S27" i="8" a="1"/>
  <c r="S27" i="8" s="1"/>
  <c r="R27" i="8" a="1"/>
  <c r="R27" i="8" s="1"/>
  <c r="Q27" i="8" a="1"/>
  <c r="Q27" i="8" s="1"/>
  <c r="P27" i="8" a="1"/>
  <c r="P27" i="8" s="1"/>
  <c r="O27" i="8" a="1"/>
  <c r="O27" i="8" s="1"/>
  <c r="A13" i="14"/>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D27" i="8" a="1"/>
  <c r="AD27" i="8" s="1"/>
  <c r="AC27" i="8" a="1"/>
  <c r="AC27" i="8" s="1"/>
  <c r="A48" i="14"/>
  <c r="A49" i="14" s="1"/>
  <c r="C49" i="14" s="1" a="1"/>
  <c r="C49" i="14" s="1"/>
  <c r="O15" i="8" a="1"/>
  <c r="O15" i="8" s="1"/>
  <c r="AA28" i="8"/>
  <c r="AA26" i="8"/>
  <c r="AA14" i="8"/>
  <c r="Q20" i="8" a="1"/>
  <c r="Q20" i="8" s="1"/>
  <c r="R20" i="8" a="1"/>
  <c r="R20" i="8" s="1"/>
  <c r="S20" i="8" a="1"/>
  <c r="S20" i="8" s="1"/>
  <c r="T20" i="8" a="1"/>
  <c r="T20" i="8" s="1"/>
  <c r="U20" i="8" a="1"/>
  <c r="U20" i="8" s="1"/>
  <c r="V20" i="8" a="1"/>
  <c r="V20" i="8" s="1"/>
  <c r="W20" i="8" a="1"/>
  <c r="W20" i="8" s="1"/>
  <c r="X20" i="8" a="1"/>
  <c r="X20" i="8" s="1"/>
  <c r="Y20" i="8" a="1"/>
  <c r="Y20" i="8" s="1"/>
  <c r="Z20" i="8" a="1"/>
  <c r="Z20" i="8" s="1"/>
  <c r="P20" i="8" a="1"/>
  <c r="P20" i="8" s="1"/>
  <c r="P8" i="8" a="1"/>
  <c r="P8" i="8" s="1"/>
  <c r="Q8" i="8" a="1"/>
  <c r="Q8" i="8" s="1"/>
  <c r="R8" i="8" a="1"/>
  <c r="R8" i="8" s="1"/>
  <c r="S8" i="8" a="1"/>
  <c r="S8" i="8" s="1"/>
  <c r="T8" i="8" a="1"/>
  <c r="T8" i="8"/>
  <c r="U8" i="8" a="1"/>
  <c r="U8" i="8" s="1"/>
  <c r="V8" i="8" a="1"/>
  <c r="V8" i="8" s="1"/>
  <c r="W8" i="8" a="1"/>
  <c r="W8" i="8" s="1"/>
  <c r="X8" i="8" a="1"/>
  <c r="X8" i="8" s="1"/>
  <c r="Y8" i="8" a="1"/>
  <c r="Y8" i="8" s="1"/>
  <c r="Z8" i="8" a="1"/>
  <c r="Z8" i="8" s="1"/>
  <c r="O8" i="8" a="1"/>
  <c r="O8" i="8" s="1"/>
  <c r="B48" i="15"/>
  <c r="AD23" i="9" a="1"/>
  <c r="AD23" i="9"/>
  <c r="AC23" i="9" a="1"/>
  <c r="AC23" i="9"/>
  <c r="Z23" i="9" a="1"/>
  <c r="Z23" i="9" s="1"/>
  <c r="Y23" i="9" a="1"/>
  <c r="Y23" i="9" s="1"/>
  <c r="X23" i="9" a="1"/>
  <c r="X23" i="9" s="1"/>
  <c r="W23" i="9" a="1"/>
  <c r="W23" i="9" s="1"/>
  <c r="V23" i="9" a="1"/>
  <c r="V23" i="9" s="1"/>
  <c r="U23" i="9" a="1"/>
  <c r="U23" i="9" s="1"/>
  <c r="T23" i="9" a="1"/>
  <c r="T23" i="9" s="1"/>
  <c r="S23" i="9" a="1"/>
  <c r="S23" i="9" s="1"/>
  <c r="R23" i="9" a="1"/>
  <c r="R23" i="9" s="1"/>
  <c r="Q23" i="9" a="1"/>
  <c r="Q23" i="9" s="1"/>
  <c r="P23" i="9" a="1"/>
  <c r="P23" i="9" s="1"/>
  <c r="O23" i="9" a="1"/>
  <c r="O23" i="9" s="1"/>
  <c r="AA23" i="9" s="1"/>
  <c r="M8" i="9" a="1"/>
  <c r="M8" i="9" s="1"/>
  <c r="L8" i="9" a="1"/>
  <c r="L8" i="9" s="1"/>
  <c r="K8" i="9" a="1"/>
  <c r="K8" i="9" s="1"/>
  <c r="J8" i="9" a="1"/>
  <c r="J8" i="9" s="1"/>
  <c r="I8" i="9" a="1"/>
  <c r="I8" i="9" s="1"/>
  <c r="H8" i="9" a="1"/>
  <c r="H8" i="9" s="1"/>
  <c r="G8" i="9" a="1"/>
  <c r="G8" i="9" s="1"/>
  <c r="F8" i="9" a="1"/>
  <c r="F8" i="9" s="1"/>
  <c r="E8" i="9" a="1"/>
  <c r="E8" i="9" s="1"/>
  <c r="D8" i="9" a="1"/>
  <c r="D8" i="9" s="1"/>
  <c r="C8" i="9" a="1"/>
  <c r="C8" i="9" s="1"/>
  <c r="B8" i="9" a="1"/>
  <c r="B8" i="9" s="1"/>
  <c r="M23" i="9" a="1"/>
  <c r="M23" i="9" s="1"/>
  <c r="L23" i="9" a="1"/>
  <c r="L23" i="9" s="1"/>
  <c r="K23" i="9" a="1"/>
  <c r="K23" i="9" s="1"/>
  <c r="J23" i="9" a="1"/>
  <c r="J23" i="9" s="1"/>
  <c r="I23" i="9" a="1"/>
  <c r="I23" i="9" s="1"/>
  <c r="H23" i="9" a="1"/>
  <c r="H23" i="9" s="1"/>
  <c r="G23" i="9" a="1"/>
  <c r="G23" i="9" s="1"/>
  <c r="F23" i="9" a="1"/>
  <c r="F23" i="9" s="1"/>
  <c r="E23" i="9" a="1"/>
  <c r="E23" i="9" s="1"/>
  <c r="D23" i="9" a="1"/>
  <c r="D23" i="9" s="1"/>
  <c r="C23" i="9" a="1"/>
  <c r="C23" i="9" s="1"/>
  <c r="B23" i="9" a="1"/>
  <c r="B23" i="9" s="1"/>
  <c r="N23" i="9" s="1"/>
  <c r="M21" i="9" a="1"/>
  <c r="M21" i="9" s="1"/>
  <c r="L21" i="9" a="1"/>
  <c r="L21" i="9" s="1"/>
  <c r="K21" i="9" a="1"/>
  <c r="K21" i="9" s="1"/>
  <c r="J21" i="9" a="1"/>
  <c r="J21" i="9" s="1"/>
  <c r="I21" i="9" a="1"/>
  <c r="I21" i="9" s="1"/>
  <c r="H21" i="9" a="1"/>
  <c r="H21" i="9" s="1"/>
  <c r="G21" i="9" a="1"/>
  <c r="G21" i="9" s="1"/>
  <c r="F21" i="9" a="1"/>
  <c r="F21" i="9" s="1"/>
  <c r="E21" i="9" a="1"/>
  <c r="E21" i="9" s="1"/>
  <c r="D21" i="9" a="1"/>
  <c r="D21" i="9" s="1"/>
  <c r="C21" i="9" a="1"/>
  <c r="C21" i="9" s="1"/>
  <c r="B21" i="9" a="1"/>
  <c r="B21" i="9" s="1"/>
  <c r="N21" i="9" s="1"/>
  <c r="M20" i="9" a="1"/>
  <c r="M20" i="9" s="1"/>
  <c r="L20" i="9" a="1"/>
  <c r="L20" i="9" s="1"/>
  <c r="K20" i="9" a="1"/>
  <c r="K20" i="9" s="1"/>
  <c r="J20" i="9" a="1"/>
  <c r="J20" i="9" s="1"/>
  <c r="I20" i="9" a="1"/>
  <c r="I20" i="9" s="1"/>
  <c r="H20" i="9" a="1"/>
  <c r="H20" i="9" s="1"/>
  <c r="G20" i="9" a="1"/>
  <c r="G20" i="9" s="1"/>
  <c r="F20" i="9" a="1"/>
  <c r="F20" i="9" s="1"/>
  <c r="E20" i="9" a="1"/>
  <c r="E20" i="9" s="1"/>
  <c r="D20" i="9" a="1"/>
  <c r="D20" i="9" s="1"/>
  <c r="C20" i="9" a="1"/>
  <c r="C20" i="9" s="1"/>
  <c r="B20" i="9" a="1"/>
  <c r="B20" i="9" s="1"/>
  <c r="N20" i="9" s="1"/>
  <c r="M19" i="9" a="1"/>
  <c r="M19" i="9" s="1"/>
  <c r="L19" i="9" a="1"/>
  <c r="L19" i="9" s="1"/>
  <c r="K19" i="9" a="1"/>
  <c r="K19" i="9" s="1"/>
  <c r="J19" i="9" a="1"/>
  <c r="J19" i="9" s="1"/>
  <c r="I19" i="9" a="1"/>
  <c r="I19" i="9" s="1"/>
  <c r="H19" i="9" a="1"/>
  <c r="H19" i="9" s="1"/>
  <c r="G19" i="9" a="1"/>
  <c r="G19" i="9" s="1"/>
  <c r="F19" i="9" a="1"/>
  <c r="F19" i="9" s="1"/>
  <c r="E19" i="9" a="1"/>
  <c r="E19" i="9" s="1"/>
  <c r="D19" i="9" a="1"/>
  <c r="D19" i="9" s="1"/>
  <c r="C19" i="9" a="1"/>
  <c r="C19" i="9" s="1"/>
  <c r="B19" i="9" a="1"/>
  <c r="B19" i="9" s="1"/>
  <c r="N19" i="9" s="1"/>
  <c r="M16" i="9" a="1"/>
  <c r="M16" i="9" s="1"/>
  <c r="L16" i="9" a="1"/>
  <c r="L16" i="9" s="1"/>
  <c r="K16" i="9" a="1"/>
  <c r="K16" i="9" s="1"/>
  <c r="J16" i="9" a="1"/>
  <c r="J16" i="9" s="1"/>
  <c r="I16" i="9" a="1"/>
  <c r="I16" i="9" s="1"/>
  <c r="H16" i="9" a="1"/>
  <c r="H16" i="9" s="1"/>
  <c r="G16" i="9" a="1"/>
  <c r="G16" i="9" s="1"/>
  <c r="F16" i="9" a="1"/>
  <c r="F16" i="9" s="1"/>
  <c r="E16" i="9" a="1"/>
  <c r="E16" i="9" s="1"/>
  <c r="D16" i="9" a="1"/>
  <c r="D16" i="9" s="1"/>
  <c r="C16" i="9" a="1"/>
  <c r="C16" i="9" s="1"/>
  <c r="B16" i="9" a="1"/>
  <c r="B16" i="9" s="1"/>
  <c r="N16" i="9" s="1"/>
  <c r="M15" i="9" a="1"/>
  <c r="M15" i="9" s="1"/>
  <c r="L15" i="9" a="1"/>
  <c r="L15" i="9" s="1"/>
  <c r="K15" i="9" a="1"/>
  <c r="K15" i="9" s="1"/>
  <c r="J15" i="9" a="1"/>
  <c r="J15" i="9" s="1"/>
  <c r="I15" i="9" a="1"/>
  <c r="I15" i="9" s="1"/>
  <c r="H15" i="9" a="1"/>
  <c r="H15" i="9" s="1"/>
  <c r="G15" i="9" a="1"/>
  <c r="G15" i="9" s="1"/>
  <c r="F15" i="9" a="1"/>
  <c r="F15" i="9" s="1"/>
  <c r="E15" i="9" a="1"/>
  <c r="E15" i="9" s="1"/>
  <c r="D15" i="9" a="1"/>
  <c r="D15" i="9" s="1"/>
  <c r="C15" i="9" a="1"/>
  <c r="C15" i="9" s="1"/>
  <c r="B15" i="9" a="1"/>
  <c r="B15" i="9" s="1"/>
  <c r="N15" i="9" s="1"/>
  <c r="M14" i="9" a="1"/>
  <c r="M14" i="9" s="1"/>
  <c r="L14" i="9" a="1"/>
  <c r="L14" i="9" s="1"/>
  <c r="K14" i="9" a="1"/>
  <c r="K14" i="9" s="1"/>
  <c r="J14" i="9" a="1"/>
  <c r="J14" i="9" s="1"/>
  <c r="I14" i="9" a="1"/>
  <c r="I14" i="9" s="1"/>
  <c r="H14" i="9" a="1"/>
  <c r="H14" i="9" s="1"/>
  <c r="G14" i="9" a="1"/>
  <c r="G14" i="9" s="1"/>
  <c r="F14" i="9" a="1"/>
  <c r="F14" i="9" s="1"/>
  <c r="E14" i="9" a="1"/>
  <c r="E14" i="9" s="1"/>
  <c r="D14" i="9" a="1"/>
  <c r="D14" i="9" s="1"/>
  <c r="C14" i="9" a="1"/>
  <c r="C14" i="9" s="1"/>
  <c r="B14" i="9" a="1"/>
  <c r="B14" i="9" s="1"/>
  <c r="N14" i="9" s="1"/>
  <c r="M13" i="9" a="1"/>
  <c r="M13" i="9" s="1"/>
  <c r="L13" i="9" a="1"/>
  <c r="L13" i="9" s="1"/>
  <c r="K13" i="9" a="1"/>
  <c r="K13" i="9" s="1"/>
  <c r="J13" i="9" a="1"/>
  <c r="J13" i="9" s="1"/>
  <c r="I13" i="9" a="1"/>
  <c r="I13" i="9" s="1"/>
  <c r="H13" i="9" a="1"/>
  <c r="H13" i="9" s="1"/>
  <c r="G13" i="9" a="1"/>
  <c r="G13" i="9" s="1"/>
  <c r="F13" i="9" a="1"/>
  <c r="F13" i="9" s="1"/>
  <c r="E13" i="9" a="1"/>
  <c r="E13" i="9" s="1"/>
  <c r="D13" i="9" a="1"/>
  <c r="D13" i="9" s="1"/>
  <c r="C13" i="9" a="1"/>
  <c r="C13" i="9" s="1"/>
  <c r="B13" i="9" a="1"/>
  <c r="B13" i="9" s="1"/>
  <c r="N13" i="9" s="1"/>
  <c r="M12" i="9" a="1"/>
  <c r="M12" i="9" s="1"/>
  <c r="L12" i="9" a="1"/>
  <c r="L12" i="9" s="1"/>
  <c r="K12" i="9" a="1"/>
  <c r="K12" i="9" s="1"/>
  <c r="J12" i="9" a="1"/>
  <c r="J12" i="9" s="1"/>
  <c r="I12" i="9" a="1"/>
  <c r="I12" i="9" s="1"/>
  <c r="H12" i="9" a="1"/>
  <c r="H12" i="9" s="1"/>
  <c r="G12" i="9" a="1"/>
  <c r="G12" i="9" s="1"/>
  <c r="F12" i="9" a="1"/>
  <c r="F12" i="9" s="1"/>
  <c r="E12" i="9" a="1"/>
  <c r="E12" i="9" s="1"/>
  <c r="D12" i="9" a="1"/>
  <c r="D12" i="9" s="1"/>
  <c r="C12" i="9" a="1"/>
  <c r="C12" i="9" s="1"/>
  <c r="B12" i="9" a="1"/>
  <c r="B12" i="9" s="1"/>
  <c r="C18" i="9" a="1"/>
  <c r="C18" i="9"/>
  <c r="D18" i="9" a="1"/>
  <c r="D18" i="9"/>
  <c r="E18" i="9" a="1"/>
  <c r="E18" i="9"/>
  <c r="F18" i="9" a="1"/>
  <c r="F18" i="9"/>
  <c r="G18" i="9" a="1"/>
  <c r="G18" i="9"/>
  <c r="H18" i="9" a="1"/>
  <c r="H18" i="9"/>
  <c r="I18" i="9" a="1"/>
  <c r="I18" i="9"/>
  <c r="J18" i="9" a="1"/>
  <c r="J18" i="9"/>
  <c r="K18" i="9" a="1"/>
  <c r="K18" i="9"/>
  <c r="L18" i="9" a="1"/>
  <c r="L18" i="9"/>
  <c r="M18" i="9" a="1"/>
  <c r="M18" i="9"/>
  <c r="B18" i="9" a="1"/>
  <c r="B18" i="9" s="1"/>
  <c r="N18" i="9" s="1"/>
  <c r="C17" i="9" a="1"/>
  <c r="C17" i="9"/>
  <c r="D17" i="9" a="1"/>
  <c r="D17" i="9"/>
  <c r="E17" i="9" a="1"/>
  <c r="E17" i="9"/>
  <c r="F17" i="9" a="1"/>
  <c r="F17" i="9"/>
  <c r="G17" i="9" a="1"/>
  <c r="G17" i="9"/>
  <c r="H17" i="9" a="1"/>
  <c r="H17" i="9"/>
  <c r="I17" i="9" a="1"/>
  <c r="I17" i="9"/>
  <c r="J17" i="9" a="1"/>
  <c r="J17" i="9"/>
  <c r="K17" i="9" a="1"/>
  <c r="K17" i="9"/>
  <c r="L17" i="9" a="1"/>
  <c r="L17" i="9"/>
  <c r="M17" i="9" a="1"/>
  <c r="M17" i="9"/>
  <c r="B17" i="9" a="1"/>
  <c r="B17" i="9"/>
  <c r="N17" i="9" s="1"/>
  <c r="J200" i="15"/>
  <c r="J201" i="15" s="1"/>
  <c r="I185" i="15"/>
  <c r="B185" i="15"/>
  <c r="A185" i="15"/>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B9" i="15"/>
  <c r="B8" i="15"/>
  <c r="B7" i="15"/>
  <c r="B6" i="15"/>
  <c r="B14" i="15" s="1"/>
  <c r="B8" i="14"/>
  <c r="B7" i="14"/>
  <c r="C11" i="10" l="1"/>
  <c r="D11" i="10"/>
  <c r="E11" i="10" s="1"/>
  <c r="F11" i="10" s="1"/>
  <c r="E38" i="17"/>
  <c r="D13" i="17"/>
  <c r="D36" i="17"/>
  <c r="B25" i="9"/>
  <c r="C25" i="9"/>
  <c r="D25" i="9"/>
  <c r="E25" i="9"/>
  <c r="F25" i="9"/>
  <c r="G25" i="9"/>
  <c r="H25" i="9"/>
  <c r="I25" i="9"/>
  <c r="J25" i="9"/>
  <c r="K25" i="9"/>
  <c r="L25" i="9"/>
  <c r="M25" i="9"/>
  <c r="N12" i="9"/>
  <c r="N25" i="9" s="1"/>
  <c r="N8" i="9"/>
  <c r="N27" i="9" s="1"/>
  <c r="B27" i="9"/>
  <c r="C27" i="9"/>
  <c r="D27" i="9"/>
  <c r="E27" i="9"/>
  <c r="F27" i="9"/>
  <c r="G27" i="9"/>
  <c r="H27" i="9"/>
  <c r="I27" i="9"/>
  <c r="J27" i="9"/>
  <c r="K27" i="9"/>
  <c r="L27" i="9"/>
  <c r="M27" i="9"/>
  <c r="A152" i="15"/>
  <c r="B152" i="15" s="1" a="1"/>
  <c r="B152" i="15" s="1"/>
  <c r="F118" i="15"/>
  <c r="G118" i="15" s="1" a="1"/>
  <c r="G118" i="15" s="1"/>
  <c r="A118" i="15"/>
  <c r="B118" i="15" s="1" a="1"/>
  <c r="B118" i="15" s="1"/>
  <c r="F84" i="15"/>
  <c r="H83" i="15" a="1"/>
  <c r="H83" i="15" s="1"/>
  <c r="A85" i="15"/>
  <c r="C85" i="15" s="1" a="1"/>
  <c r="C85" i="15" s="1"/>
  <c r="D8" i="8"/>
  <c r="C8" i="8"/>
  <c r="F8" i="8"/>
  <c r="B8" i="8"/>
  <c r="K8" i="8"/>
  <c r="J8" i="8"/>
  <c r="C85" i="14"/>
  <c r="B86" i="14"/>
  <c r="C84" i="14"/>
  <c r="F50" i="14"/>
  <c r="H49" i="14" a="1"/>
  <c r="H49" i="14" s="1"/>
  <c r="B49" i="14" a="1"/>
  <c r="B49" i="14" s="1"/>
  <c r="G49" i="14" a="1"/>
  <c r="G49" i="14" s="1"/>
  <c r="AA8" i="8"/>
  <c r="AA27" i="8"/>
  <c r="A50" i="14"/>
  <c r="I29" i="8"/>
  <c r="J29" i="8"/>
  <c r="C29" i="8"/>
  <c r="K29" i="8"/>
  <c r="D29" i="8"/>
  <c r="L29" i="8"/>
  <c r="E29" i="8"/>
  <c r="M29" i="8"/>
  <c r="G29" i="8"/>
  <c r="F29" i="8"/>
  <c r="B29" i="8"/>
  <c r="B30" i="8" s="1"/>
  <c r="H29" i="8"/>
  <c r="H8" i="8"/>
  <c r="I8" i="8"/>
  <c r="G8" i="8"/>
  <c r="M8" i="8"/>
  <c r="E8" i="8"/>
  <c r="L8" i="8"/>
  <c r="N13" i="8"/>
  <c r="AA20" i="8"/>
  <c r="AB20" i="8" s="1"/>
  <c r="AC20" i="8" s="1"/>
  <c r="AD20" i="8" s="1"/>
  <c r="I186" i="15"/>
  <c r="J185" i="15"/>
  <c r="C15" i="15"/>
  <c r="AB30" i="9" s="1"/>
  <c r="C16" i="15"/>
  <c r="AC30" i="9" s="1"/>
  <c r="C17" i="15"/>
  <c r="AD30" i="9" s="1"/>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14" i="15"/>
  <c r="B49" i="15"/>
  <c r="C48" i="15" a="1"/>
  <c r="C48" i="15" s="1"/>
  <c r="D14" i="15" l="1"/>
  <c r="B15" i="15" s="1"/>
  <c r="P30" i="9"/>
  <c r="Q30" i="9"/>
  <c r="R30" i="9"/>
  <c r="S30" i="9"/>
  <c r="T30" i="9"/>
  <c r="U30" i="9"/>
  <c r="V30" i="9"/>
  <c r="W30" i="9"/>
  <c r="X30" i="9"/>
  <c r="Y30" i="9"/>
  <c r="Z30" i="9"/>
  <c r="O30" i="9"/>
  <c r="AA30" i="9" s="1"/>
  <c r="F38" i="17"/>
  <c r="E13" i="17"/>
  <c r="E36" i="17"/>
  <c r="I116" i="15"/>
  <c r="I82" i="15"/>
  <c r="D49" i="14"/>
  <c r="A153" i="15"/>
  <c r="B153" i="15" s="1" a="1"/>
  <c r="B153" i="15" s="1"/>
  <c r="F119" i="15"/>
  <c r="G119" i="15" s="1" a="1"/>
  <c r="G119" i="15" s="1"/>
  <c r="A119" i="15"/>
  <c r="B119" i="15" s="1" a="1"/>
  <c r="B119" i="15" s="1"/>
  <c r="F85" i="15"/>
  <c r="H84" i="15" a="1"/>
  <c r="H84" i="15" s="1"/>
  <c r="A86" i="15"/>
  <c r="C86" i="15" s="1" a="1"/>
  <c r="C86" i="15" s="1"/>
  <c r="I49" i="14"/>
  <c r="B87" i="14"/>
  <c r="C86" i="14"/>
  <c r="A51" i="14"/>
  <c r="G50" i="14" a="1"/>
  <c r="G50" i="14" s="1"/>
  <c r="C50" i="14" a="1"/>
  <c r="C50" i="14" s="1"/>
  <c r="B50" i="14" a="1"/>
  <c r="B50" i="14" s="1"/>
  <c r="F51" i="14"/>
  <c r="H50" i="14" a="1"/>
  <c r="H50" i="14" s="1"/>
  <c r="N8" i="8"/>
  <c r="N29" i="8"/>
  <c r="D15" i="15"/>
  <c r="B16" i="15" s="1"/>
  <c r="D16" i="15" s="1"/>
  <c r="B17" i="15" s="1"/>
  <c r="D17" i="15" s="1"/>
  <c r="B18" i="15" s="1"/>
  <c r="D18" i="15" s="1"/>
  <c r="B19" i="15" s="1"/>
  <c r="D19" i="15" s="1"/>
  <c r="B20" i="15" s="1"/>
  <c r="D20" i="15" s="1"/>
  <c r="B21" i="15" s="1"/>
  <c r="D21" i="15" s="1"/>
  <c r="B22" i="15" s="1"/>
  <c r="D22" i="15" s="1"/>
  <c r="B23" i="15" s="1"/>
  <c r="D23" i="15" s="1"/>
  <c r="B24" i="15" s="1"/>
  <c r="D24" i="15" s="1"/>
  <c r="B25" i="15" s="1"/>
  <c r="D25" i="15" s="1"/>
  <c r="B26" i="15" s="1"/>
  <c r="D26" i="15" s="1"/>
  <c r="B27" i="15" s="1"/>
  <c r="D27" i="15" s="1"/>
  <c r="B28" i="15" s="1"/>
  <c r="D28" i="15" s="1"/>
  <c r="B29" i="15" s="1"/>
  <c r="D29" i="15" s="1"/>
  <c r="I187" i="15"/>
  <c r="J186" i="15"/>
  <c r="E48" i="15" a="1"/>
  <c r="E48" i="15" s="1"/>
  <c r="D48" i="15" a="1"/>
  <c r="D48" i="15" s="1"/>
  <c r="B50" i="15"/>
  <c r="C49" i="15" a="1"/>
  <c r="C49" i="15" s="1"/>
  <c r="B44" i="1"/>
  <c r="C47" i="17" l="1" a="1"/>
  <c r="C47" i="17" s="1"/>
  <c r="B120" i="14" a="1"/>
  <c r="B120" i="14" s="1"/>
  <c r="I120" i="14" a="1"/>
  <c r="I120" i="14" s="1"/>
  <c r="J120" i="14" s="1"/>
  <c r="I121" i="14" a="1"/>
  <c r="I121" i="14" s="1"/>
  <c r="J121" i="14" s="1"/>
  <c r="I122" i="14" a="1"/>
  <c r="I122" i="14" s="1"/>
  <c r="J122" i="14" s="1"/>
  <c r="I123" i="14" a="1"/>
  <c r="I123" i="14" s="1"/>
  <c r="J123" i="14" s="1"/>
  <c r="I124" i="14" a="1"/>
  <c r="I124" i="14" s="1"/>
  <c r="J124" i="14" s="1"/>
  <c r="I125" i="14" a="1"/>
  <c r="I125" i="14" s="1"/>
  <c r="J125" i="14" s="1"/>
  <c r="I126" i="14" a="1"/>
  <c r="I126" i="14" s="1"/>
  <c r="J126" i="14" s="1"/>
  <c r="I127" i="14" a="1"/>
  <c r="I127" i="14" s="1"/>
  <c r="J127" i="14" s="1"/>
  <c r="I128" i="14" a="1"/>
  <c r="I128" i="14" s="1"/>
  <c r="J128" i="14" s="1"/>
  <c r="I129" i="14" a="1"/>
  <c r="I129" i="14" s="1"/>
  <c r="J129" i="14" s="1"/>
  <c r="I130" i="14" a="1"/>
  <c r="I130" i="14" s="1"/>
  <c r="J130" i="14" s="1"/>
  <c r="I131" i="14" a="1"/>
  <c r="I131" i="14" s="1"/>
  <c r="J131" i="14" s="1"/>
  <c r="G48" i="15"/>
  <c r="I48" i="15" s="1"/>
  <c r="F48" i="15"/>
  <c r="H48" i="15" s="1"/>
  <c r="B30" i="15"/>
  <c r="D30" i="15" s="1"/>
  <c r="B31" i="15" s="1"/>
  <c r="D31" i="15" s="1"/>
  <c r="B32" i="15" s="1"/>
  <c r="D32" i="15" s="1"/>
  <c r="B33" i="15" s="1"/>
  <c r="D33" i="15" s="1"/>
  <c r="B34" i="15" s="1"/>
  <c r="D34" i="15" s="1"/>
  <c r="B35" i="15" s="1"/>
  <c r="D35" i="15" s="1"/>
  <c r="B36" i="15" s="1"/>
  <c r="D36" i="15" s="1"/>
  <c r="B37" i="15" s="1"/>
  <c r="D37" i="15" s="1"/>
  <c r="B38" i="15" s="1"/>
  <c r="D38" i="15" s="1"/>
  <c r="B39" i="15" s="1"/>
  <c r="D39" i="15" s="1"/>
  <c r="B40" i="15" s="1"/>
  <c r="D40" i="15" s="1"/>
  <c r="B41" i="15" s="1"/>
  <c r="D41" i="15" s="1"/>
  <c r="B42" i="15" s="1"/>
  <c r="D42" i="15" s="1"/>
  <c r="B43" i="15" s="1"/>
  <c r="D43" i="15" s="1"/>
  <c r="C20" i="10"/>
  <c r="T14" i="9"/>
  <c r="W16" i="8"/>
  <c r="X14" i="9"/>
  <c r="U14" i="9"/>
  <c r="X16" i="8"/>
  <c r="Y14" i="9"/>
  <c r="V14" i="9"/>
  <c r="Q16" i="8"/>
  <c r="Y16" i="8"/>
  <c r="Z14" i="9"/>
  <c r="W14" i="9"/>
  <c r="R16" i="8"/>
  <c r="P14" i="9"/>
  <c r="O14" i="9"/>
  <c r="S16" i="8"/>
  <c r="P16" i="8"/>
  <c r="S14" i="9"/>
  <c r="V16" i="8"/>
  <c r="Q14" i="9"/>
  <c r="T16" i="8"/>
  <c r="R14" i="9"/>
  <c r="U16" i="8"/>
  <c r="Z16" i="8"/>
  <c r="Z12" i="9" a="1"/>
  <c r="Z12" i="9" s="1"/>
  <c r="V12" i="9" a="1"/>
  <c r="V12" i="9" s="1"/>
  <c r="R12" i="9" a="1"/>
  <c r="R12" i="9" s="1"/>
  <c r="X18" i="8" a="1"/>
  <c r="X18" i="8" s="1"/>
  <c r="T18" i="8" a="1"/>
  <c r="T18" i="8" s="1"/>
  <c r="P18" i="8" a="1"/>
  <c r="P18" i="8" s="1"/>
  <c r="Y12" i="9" a="1"/>
  <c r="Y12" i="9" s="1"/>
  <c r="U12" i="9" a="1"/>
  <c r="U12" i="9" s="1"/>
  <c r="W18" i="8" a="1"/>
  <c r="W18" i="8" s="1"/>
  <c r="S18" i="8" a="1"/>
  <c r="S18" i="8" s="1"/>
  <c r="W12" i="9" a="1"/>
  <c r="W12" i="9" s="1"/>
  <c r="S12" i="9" a="1"/>
  <c r="S12" i="9" s="1"/>
  <c r="O12" i="9" a="1"/>
  <c r="O12" i="9" s="1"/>
  <c r="Y18" i="8" a="1"/>
  <c r="Y18" i="8" s="1"/>
  <c r="U18" i="8" a="1"/>
  <c r="U18" i="8" s="1"/>
  <c r="Q18" i="8" a="1"/>
  <c r="Q18" i="8" s="1"/>
  <c r="Q12" i="9" a="1"/>
  <c r="Q12" i="9" s="1"/>
  <c r="X12" i="9" a="1"/>
  <c r="X12" i="9" s="1"/>
  <c r="T12" i="9" a="1"/>
  <c r="T12" i="9" s="1"/>
  <c r="P12" i="9" a="1"/>
  <c r="P12" i="9" s="1"/>
  <c r="V18" i="8" a="1"/>
  <c r="V18" i="8" s="1"/>
  <c r="R18" i="8" a="1"/>
  <c r="R18" i="8" s="1"/>
  <c r="C18" i="10" a="1"/>
  <c r="C18" i="10" s="1"/>
  <c r="Z18" i="8" a="1"/>
  <c r="Z18" i="8" s="1"/>
  <c r="G38" i="17"/>
  <c r="F13" i="17"/>
  <c r="F36" i="17"/>
  <c r="C117" i="15" a="1"/>
  <c r="C117" i="15" s="1"/>
  <c r="D117" i="15" s="1"/>
  <c r="C151" i="15" a="1"/>
  <c r="C151" i="15" s="1"/>
  <c r="D151" i="15" s="1"/>
  <c r="D83" i="15"/>
  <c r="H117" i="15" a="1"/>
  <c r="H117" i="15" s="1"/>
  <c r="I117" i="15" s="1"/>
  <c r="I83" i="15"/>
  <c r="C116" i="15" a="1"/>
  <c r="C116" i="15" s="1"/>
  <c r="D116" i="15" s="1"/>
  <c r="C150" i="15" a="1"/>
  <c r="C150" i="15" s="1"/>
  <c r="D150" i="15" s="1"/>
  <c r="A154" i="15"/>
  <c r="B154" i="15" s="1" a="1"/>
  <c r="B154" i="15" s="1"/>
  <c r="F120" i="15"/>
  <c r="G120" i="15" s="1" a="1"/>
  <c r="G120" i="15" s="1"/>
  <c r="A120" i="15"/>
  <c r="B120" i="15" s="1" a="1"/>
  <c r="B120" i="15" s="1"/>
  <c r="F86" i="15"/>
  <c r="H85" i="15" a="1"/>
  <c r="H85" i="15" s="1"/>
  <c r="A87" i="15"/>
  <c r="C87" i="15" s="1" a="1"/>
  <c r="C87" i="15" s="1"/>
  <c r="AA25" i="8"/>
  <c r="AB25" i="8" s="1"/>
  <c r="AC25" i="8" s="1"/>
  <c r="AD25" i="8" s="1" a="1"/>
  <c r="AD25" i="8" s="1"/>
  <c r="AA24" i="8"/>
  <c r="AB24" i="8" s="1"/>
  <c r="AC24" i="8" s="1"/>
  <c r="AD24" i="8" s="1"/>
  <c r="AA23" i="8"/>
  <c r="AB23" i="8" s="1"/>
  <c r="AC23" i="8" s="1"/>
  <c r="AD23" i="8" s="1"/>
  <c r="B88" i="14"/>
  <c r="C87" i="14"/>
  <c r="D50" i="14"/>
  <c r="F52" i="14"/>
  <c r="H51" i="14" a="1"/>
  <c r="H51" i="14" s="1"/>
  <c r="I50" i="14"/>
  <c r="A52" i="14"/>
  <c r="B51" i="14" a="1"/>
  <c r="B51" i="14" s="1"/>
  <c r="G51" i="14" a="1"/>
  <c r="G51" i="14" s="1"/>
  <c r="C51" i="14" a="1"/>
  <c r="C51" i="14" s="1"/>
  <c r="D51" i="14" s="1"/>
  <c r="AA13" i="8"/>
  <c r="B14" i="14" a="1"/>
  <c r="B14" i="14" s="1"/>
  <c r="B9" i="14" a="1"/>
  <c r="B9" i="14" s="1"/>
  <c r="B6" i="14" a="1"/>
  <c r="B6" i="14" s="1"/>
  <c r="I188" i="15"/>
  <c r="J187" i="15"/>
  <c r="E49" i="15" a="1"/>
  <c r="E49" i="15" s="1"/>
  <c r="D49" i="15" a="1"/>
  <c r="D49" i="15" s="1"/>
  <c r="B51" i="15"/>
  <c r="C50" i="15" a="1"/>
  <c r="C50" i="15" s="1"/>
  <c r="W17" i="9" l="1"/>
  <c r="X17" i="9"/>
  <c r="Y17" i="9"/>
  <c r="Z17" i="9"/>
  <c r="Q17" i="9"/>
  <c r="R17" i="9"/>
  <c r="S17" i="9"/>
  <c r="T17" i="9"/>
  <c r="U17" i="9"/>
  <c r="V17" i="9"/>
  <c r="P17" i="9"/>
  <c r="O17" i="9"/>
  <c r="Y18" i="9"/>
  <c r="Z18" i="9"/>
  <c r="P18" i="9"/>
  <c r="Q18" i="9"/>
  <c r="R18" i="9"/>
  <c r="S18" i="9"/>
  <c r="T18" i="9"/>
  <c r="U18" i="9"/>
  <c r="V18" i="9"/>
  <c r="W18" i="9"/>
  <c r="X18" i="9"/>
  <c r="O18" i="9"/>
  <c r="P22" i="8"/>
  <c r="C17" i="10"/>
  <c r="J132" i="14"/>
  <c r="C120" i="14" s="1"/>
  <c r="F120" i="14" s="1"/>
  <c r="B121" i="14" s="1"/>
  <c r="AB12" i="9"/>
  <c r="D18" i="10" a="1"/>
  <c r="D18" i="10" s="1"/>
  <c r="D20" i="10"/>
  <c r="AB14" i="9"/>
  <c r="AB18" i="8" a="1"/>
  <c r="AB18" i="8" s="1"/>
  <c r="AB16" i="8"/>
  <c r="D9" i="10"/>
  <c r="AB8" i="9"/>
  <c r="D21" i="10"/>
  <c r="AB15" i="9"/>
  <c r="D19" i="10"/>
  <c r="AB13" i="9"/>
  <c r="AA14" i="9"/>
  <c r="R13" i="9"/>
  <c r="R15" i="8"/>
  <c r="Z15" i="8"/>
  <c r="S13" i="9"/>
  <c r="AB15" i="8"/>
  <c r="P15" i="8"/>
  <c r="S15" i="8"/>
  <c r="T13" i="9"/>
  <c r="T15" i="8"/>
  <c r="P13" i="9"/>
  <c r="O13" i="9"/>
  <c r="X15" i="8"/>
  <c r="Q15" i="8"/>
  <c r="Y15" i="8"/>
  <c r="X13" i="9"/>
  <c r="U13" i="9"/>
  <c r="U15" i="8"/>
  <c r="Q13" i="9"/>
  <c r="Y13" i="9"/>
  <c r="V13" i="9"/>
  <c r="V15" i="8"/>
  <c r="C19" i="10"/>
  <c r="Z13" i="9"/>
  <c r="W13" i="9"/>
  <c r="W15" i="8"/>
  <c r="P15" i="9"/>
  <c r="X15" i="9"/>
  <c r="W17" i="8"/>
  <c r="Q15" i="9"/>
  <c r="Y15" i="9"/>
  <c r="X17" i="8"/>
  <c r="R15" i="9"/>
  <c r="Z15" i="9"/>
  <c r="Q17" i="8"/>
  <c r="Y17" i="8"/>
  <c r="W15" i="9"/>
  <c r="S15" i="9"/>
  <c r="O15" i="9"/>
  <c r="R17" i="8"/>
  <c r="Z17" i="8"/>
  <c r="V15" i="9"/>
  <c r="U17" i="8"/>
  <c r="V17" i="8"/>
  <c r="T15" i="9"/>
  <c r="S17" i="8"/>
  <c r="P17" i="8"/>
  <c r="AB17" i="8"/>
  <c r="T17" i="8"/>
  <c r="C21" i="10"/>
  <c r="U15" i="9"/>
  <c r="R8" i="9" a="1"/>
  <c r="R8" i="9" s="1"/>
  <c r="R9" i="8" a="1"/>
  <c r="R9" i="8" s="1"/>
  <c r="R10" i="8" s="1"/>
  <c r="U9" i="8" a="1"/>
  <c r="U9" i="8" s="1"/>
  <c r="U10" i="8" s="1"/>
  <c r="Y9" i="8" a="1"/>
  <c r="Y9" i="8" s="1"/>
  <c r="Y10" i="8" s="1"/>
  <c r="W8" i="9" a="1"/>
  <c r="W8" i="9" s="1"/>
  <c r="S8" i="9" a="1"/>
  <c r="S8" i="9" s="1"/>
  <c r="C9" i="10"/>
  <c r="P9" i="8" a="1"/>
  <c r="P9" i="8" s="1"/>
  <c r="P10" i="8" s="1"/>
  <c r="P8" i="9" a="1"/>
  <c r="P8" i="9" s="1"/>
  <c r="V9" i="8" a="1"/>
  <c r="V9" i="8" s="1"/>
  <c r="V10" i="8" s="1"/>
  <c r="Z9" i="8" a="1"/>
  <c r="Z9" i="8" s="1"/>
  <c r="Z10" i="8" s="1"/>
  <c r="O8" i="9" a="1"/>
  <c r="O8" i="9" s="1"/>
  <c r="Q9" i="8" a="1"/>
  <c r="Q9" i="8" s="1"/>
  <c r="Q10" i="8" s="1"/>
  <c r="X9" i="8" a="1"/>
  <c r="X9" i="8" s="1"/>
  <c r="X10" i="8" s="1"/>
  <c r="X8" i="9" a="1"/>
  <c r="X8" i="9" s="1"/>
  <c r="Z8" i="9" a="1"/>
  <c r="Z8" i="9" s="1"/>
  <c r="V8" i="9" a="1"/>
  <c r="V8" i="9" s="1"/>
  <c r="T9" i="8" a="1"/>
  <c r="T9" i="8" s="1"/>
  <c r="T10" i="8" s="1"/>
  <c r="T8" i="9" a="1"/>
  <c r="T8" i="9" s="1"/>
  <c r="Q8" i="9" a="1"/>
  <c r="Q8" i="9" s="1"/>
  <c r="S9" i="8" a="1"/>
  <c r="S9" i="8" s="1"/>
  <c r="S10" i="8" s="1"/>
  <c r="W9" i="8" a="1"/>
  <c r="W9" i="8" s="1"/>
  <c r="W10" i="8" s="1"/>
  <c r="O9" i="8" a="1"/>
  <c r="O9" i="8" s="1"/>
  <c r="O10" i="8" s="1"/>
  <c r="Y8" i="9" a="1"/>
  <c r="Y8" i="9" s="1"/>
  <c r="U8" i="9" a="1"/>
  <c r="U8" i="9" s="1"/>
  <c r="AB9" i="8"/>
  <c r="H38" i="17"/>
  <c r="G13" i="17"/>
  <c r="G36" i="17"/>
  <c r="H118" i="15" a="1"/>
  <c r="H118" i="15" s="1"/>
  <c r="I118" i="15" s="1"/>
  <c r="I84" i="15"/>
  <c r="C118" i="15" a="1"/>
  <c r="C118" i="15" s="1"/>
  <c r="D118" i="15" s="1"/>
  <c r="C152" i="15" a="1"/>
  <c r="C152" i="15" s="1"/>
  <c r="D152" i="15" s="1"/>
  <c r="D84" i="15"/>
  <c r="AC9" i="8" s="1"/>
  <c r="A155" i="15"/>
  <c r="B155" i="15" s="1" a="1"/>
  <c r="B155" i="15" s="1"/>
  <c r="F121" i="15"/>
  <c r="G121" i="15" s="1" a="1"/>
  <c r="G121" i="15" s="1"/>
  <c r="A121" i="15"/>
  <c r="B121" i="15" s="1" a="1"/>
  <c r="B121" i="15" s="1"/>
  <c r="F87" i="15"/>
  <c r="H86" i="15" a="1"/>
  <c r="H86" i="15" s="1"/>
  <c r="A88" i="15"/>
  <c r="C88" i="15" s="1" a="1"/>
  <c r="C88" i="15" s="1"/>
  <c r="S22" i="8"/>
  <c r="T22" i="8"/>
  <c r="Y22" i="8"/>
  <c r="U22" i="8"/>
  <c r="V22" i="8"/>
  <c r="W22" i="8"/>
  <c r="Q22" i="8"/>
  <c r="R22" i="8"/>
  <c r="Z22" i="8"/>
  <c r="X22" i="8"/>
  <c r="V21" i="8"/>
  <c r="W21" i="8"/>
  <c r="O21" i="8"/>
  <c r="Y21" i="8"/>
  <c r="R21" i="8"/>
  <c r="T21" i="8"/>
  <c r="P21" i="8"/>
  <c r="X21" i="8"/>
  <c r="Q21" i="8"/>
  <c r="Z21" i="8"/>
  <c r="S21" i="8"/>
  <c r="U21" i="8"/>
  <c r="I51" i="14"/>
  <c r="B89" i="14"/>
  <c r="C88" i="14"/>
  <c r="A53" i="14"/>
  <c r="G52" i="14" a="1"/>
  <c r="G52" i="14" s="1"/>
  <c r="B52" i="14" a="1"/>
  <c r="B52" i="14" s="1"/>
  <c r="C52" i="14" a="1"/>
  <c r="C52" i="14" s="1"/>
  <c r="F53" i="14"/>
  <c r="H52" i="14" a="1"/>
  <c r="H52" i="14" s="1"/>
  <c r="AA12" i="9"/>
  <c r="AA18" i="8"/>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14" i="14"/>
  <c r="D14" i="14" s="1"/>
  <c r="B15" i="14" s="1"/>
  <c r="I189" i="15"/>
  <c r="J188" i="15"/>
  <c r="E50" i="15" a="1"/>
  <c r="E50" i="15" s="1"/>
  <c r="D50" i="15" a="1"/>
  <c r="D50" i="15" s="1"/>
  <c r="B52" i="15"/>
  <c r="C51" i="15" a="1"/>
  <c r="C51" i="15" s="1"/>
  <c r="G49" i="15"/>
  <c r="AB18" i="9" s="1"/>
  <c r="F49" i="15"/>
  <c r="AB21" i="8" s="1"/>
  <c r="S25" i="9" l="1"/>
  <c r="AA17" i="9"/>
  <c r="H49" i="15"/>
  <c r="AB17" i="9"/>
  <c r="AA17" i="8"/>
  <c r="AA15" i="9"/>
  <c r="W25" i="9"/>
  <c r="W27" i="9" s="1"/>
  <c r="Z25" i="9"/>
  <c r="Z27" i="9" s="1"/>
  <c r="V25" i="9"/>
  <c r="V27" i="9" s="1"/>
  <c r="U25" i="9"/>
  <c r="X25" i="9"/>
  <c r="X27" i="9" s="1"/>
  <c r="C117" i="14" a="1"/>
  <c r="C117" i="14" s="1"/>
  <c r="C121" i="14"/>
  <c r="AA18" i="9"/>
  <c r="E18" i="10" a="1"/>
  <c r="E18" i="10" s="1"/>
  <c r="AC12" i="9"/>
  <c r="AC14" i="9"/>
  <c r="E20" i="10"/>
  <c r="AC16" i="8"/>
  <c r="AC18" i="8" a="1"/>
  <c r="AC18" i="8" s="1"/>
  <c r="AC15" i="8"/>
  <c r="AC15" i="9"/>
  <c r="E21" i="10"/>
  <c r="AC8" i="9"/>
  <c r="E9" i="10"/>
  <c r="AC17" i="8"/>
  <c r="AC13" i="9"/>
  <c r="E19" i="10"/>
  <c r="AB25" i="9"/>
  <c r="AB27" i="9" s="1"/>
  <c r="S27" i="9"/>
  <c r="U27" i="9"/>
  <c r="T25" i="9"/>
  <c r="T27" i="9" s="1"/>
  <c r="Y25" i="9"/>
  <c r="Y27" i="9" s="1"/>
  <c r="AA13" i="9"/>
  <c r="O25" i="9"/>
  <c r="O27" i="9" s="1"/>
  <c r="AA8" i="9"/>
  <c r="Q25" i="9"/>
  <c r="Q27" i="9" s="1"/>
  <c r="P25" i="9"/>
  <c r="P27" i="9" s="1"/>
  <c r="AA9" i="8"/>
  <c r="AA10" i="8" s="1"/>
  <c r="R25" i="9"/>
  <c r="R27" i="9" s="1"/>
  <c r="I38" i="17"/>
  <c r="H13" i="17"/>
  <c r="H36" i="17"/>
  <c r="C119" i="15" a="1"/>
  <c r="C119" i="15" s="1"/>
  <c r="D119" i="15" s="1"/>
  <c r="C153" i="15" a="1"/>
  <c r="C153" i="15" s="1"/>
  <c r="D153" i="15" s="1"/>
  <c r="AD17" i="8" s="1"/>
  <c r="D85" i="15"/>
  <c r="AD9" i="8" s="1"/>
  <c r="H119" i="15" a="1"/>
  <c r="H119" i="15" s="1"/>
  <c r="I119" i="15" s="1"/>
  <c r="AD16" i="8" s="1"/>
  <c r="I85" i="15"/>
  <c r="A156" i="15"/>
  <c r="B156" i="15" s="1" a="1"/>
  <c r="B156" i="15" s="1"/>
  <c r="F122" i="15"/>
  <c r="G122" i="15" s="1" a="1"/>
  <c r="G122" i="15" s="1"/>
  <c r="A122" i="15"/>
  <c r="B122" i="15" s="1" a="1"/>
  <c r="B122" i="15" s="1"/>
  <c r="F88" i="15"/>
  <c r="H87" i="15" a="1"/>
  <c r="H87" i="15" s="1"/>
  <c r="A89" i="15"/>
  <c r="C89" i="15" s="1" a="1"/>
  <c r="C89" i="15" s="1"/>
  <c r="AA21" i="8"/>
  <c r="AA22" i="8"/>
  <c r="I49" i="15"/>
  <c r="C89" i="14"/>
  <c r="B90" i="14"/>
  <c r="D52" i="14"/>
  <c r="I52" i="14"/>
  <c r="F54" i="14"/>
  <c r="H53" i="14" a="1"/>
  <c r="H53" i="14" s="1"/>
  <c r="A54" i="14"/>
  <c r="G53" i="14" a="1"/>
  <c r="G53" i="14" s="1"/>
  <c r="B53" i="14" a="1"/>
  <c r="B53" i="14" s="1"/>
  <c r="C53" i="14" a="1"/>
  <c r="C53" i="14" s="1"/>
  <c r="AA15" i="8"/>
  <c r="D15" i="14"/>
  <c r="B16" i="14" s="1"/>
  <c r="D16" i="14" s="1"/>
  <c r="B17" i="14" s="1"/>
  <c r="D17" i="14" s="1"/>
  <c r="B18" i="14" s="1"/>
  <c r="D18" i="14" s="1"/>
  <c r="B19" i="14" s="1"/>
  <c r="D19" i="14" s="1"/>
  <c r="B20" i="14" s="1"/>
  <c r="D20" i="14" s="1"/>
  <c r="B21" i="14" s="1"/>
  <c r="D21" i="14" s="1"/>
  <c r="B22" i="14" s="1"/>
  <c r="D22" i="14" s="1"/>
  <c r="B23" i="14" s="1"/>
  <c r="D23" i="14" s="1"/>
  <c r="B24" i="14" s="1"/>
  <c r="D24" i="14" s="1"/>
  <c r="B25" i="14" s="1"/>
  <c r="D25" i="14" s="1"/>
  <c r="B26" i="14" s="1"/>
  <c r="D26" i="14" s="1"/>
  <c r="B27" i="14" s="1"/>
  <c r="D27" i="14" s="1"/>
  <c r="B28" i="14" s="1"/>
  <c r="D28" i="14" s="1"/>
  <c r="B29" i="14" s="1"/>
  <c r="D29" i="14" s="1"/>
  <c r="B30" i="14" s="1"/>
  <c r="D30" i="14" s="1"/>
  <c r="B31" i="14" s="1"/>
  <c r="D31" i="14" s="1"/>
  <c r="B32" i="14" s="1"/>
  <c r="D32" i="14" s="1"/>
  <c r="B33" i="14" s="1"/>
  <c r="D33" i="14" s="1"/>
  <c r="B34" i="14" s="1"/>
  <c r="D34" i="14" s="1"/>
  <c r="B35" i="14" s="1"/>
  <c r="D35" i="14" s="1"/>
  <c r="B36" i="14" s="1"/>
  <c r="D36" i="14" s="1"/>
  <c r="B37" i="14" s="1"/>
  <c r="D37" i="14" s="1"/>
  <c r="B38" i="14" s="1"/>
  <c r="D38" i="14" s="1"/>
  <c r="B39" i="14" s="1"/>
  <c r="D39" i="14" s="1"/>
  <c r="B40" i="14" s="1"/>
  <c r="D40" i="14" s="1"/>
  <c r="B41" i="14" s="1"/>
  <c r="D41" i="14" s="1"/>
  <c r="B42" i="14" s="1"/>
  <c r="D42" i="14" s="1"/>
  <c r="B43" i="14" s="1"/>
  <c r="D43" i="14" s="1"/>
  <c r="AA16" i="8"/>
  <c r="I190" i="15"/>
  <c r="J189" i="15"/>
  <c r="E51" i="15" a="1"/>
  <c r="E51" i="15" s="1"/>
  <c r="D51" i="15" a="1"/>
  <c r="D51" i="15" s="1"/>
  <c r="B53" i="15"/>
  <c r="C52" i="15" a="1"/>
  <c r="C52" i="15" s="1"/>
  <c r="G50" i="15"/>
  <c r="AC18" i="9" s="1"/>
  <c r="F50" i="15"/>
  <c r="AA25" i="9" l="1"/>
  <c r="H50" i="15"/>
  <c r="AC17" i="9"/>
  <c r="AC21" i="8"/>
  <c r="D17" i="10"/>
  <c r="AB22" i="8"/>
  <c r="D121" i="14"/>
  <c r="E121" i="14" s="1"/>
  <c r="F121" i="14" s="1"/>
  <c r="B122" i="14" s="1"/>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AD12" i="9"/>
  <c r="F18" i="10" a="1"/>
  <c r="F18" i="10" s="1"/>
  <c r="AC25" i="9"/>
  <c r="AC27" i="9" s="1"/>
  <c r="AD18" i="8" a="1"/>
  <c r="AD18" i="8" s="1"/>
  <c r="AD14" i="9"/>
  <c r="F20" i="10"/>
  <c r="F21" i="10"/>
  <c r="AD15" i="9"/>
  <c r="AD13" i="9"/>
  <c r="F19" i="10"/>
  <c r="AD15" i="8"/>
  <c r="AD8" i="9"/>
  <c r="F9" i="10"/>
  <c r="AA27" i="9"/>
  <c r="J38" i="17"/>
  <c r="I13" i="17"/>
  <c r="I36" i="17"/>
  <c r="C120" i="15" a="1"/>
  <c r="C120" i="15" s="1"/>
  <c r="D120" i="15" s="1"/>
  <c r="C154" i="15" a="1"/>
  <c r="C154" i="15" s="1"/>
  <c r="D154" i="15" s="1"/>
  <c r="D86" i="15"/>
  <c r="H120" i="15" a="1"/>
  <c r="H120" i="15" s="1"/>
  <c r="I120" i="15" s="1"/>
  <c r="I86" i="15"/>
  <c r="A157" i="15"/>
  <c r="B157" i="15" s="1" a="1"/>
  <c r="B157" i="15" s="1"/>
  <c r="F123" i="15"/>
  <c r="G123" i="15" s="1" a="1"/>
  <c r="G123" i="15" s="1"/>
  <c r="A123" i="15"/>
  <c r="B123" i="15" s="1" a="1"/>
  <c r="B123" i="15" s="1"/>
  <c r="F89" i="15"/>
  <c r="H88" i="15" a="1"/>
  <c r="H88" i="15" s="1"/>
  <c r="A90" i="15"/>
  <c r="C90" i="15" s="1" a="1"/>
  <c r="C90" i="15" s="1"/>
  <c r="I50" i="15"/>
  <c r="C90" i="14"/>
  <c r="B91" i="14"/>
  <c r="I53" i="14"/>
  <c r="D53" i="14"/>
  <c r="A55" i="14"/>
  <c r="C54" i="14" a="1"/>
  <c r="C54" i="14" s="1"/>
  <c r="G54" i="14" a="1"/>
  <c r="G54" i="14" s="1"/>
  <c r="B54" i="14" a="1"/>
  <c r="B54" i="14" s="1"/>
  <c r="F55" i="14"/>
  <c r="H54" i="14" a="1"/>
  <c r="H54" i="14" s="1"/>
  <c r="I191" i="15"/>
  <c r="J190" i="15"/>
  <c r="E52" i="15" a="1"/>
  <c r="E52" i="15" s="1"/>
  <c r="D52" i="15" a="1"/>
  <c r="D52" i="15" s="1"/>
  <c r="B54" i="15"/>
  <c r="C53" i="15" a="1"/>
  <c r="C53" i="15" s="1"/>
  <c r="G51" i="15"/>
  <c r="AD18" i="9" s="1"/>
  <c r="F51" i="15"/>
  <c r="H51" i="15" l="1"/>
  <c r="AD21" i="8"/>
  <c r="AD17" i="9"/>
  <c r="E17" i="10"/>
  <c r="AC22" i="8"/>
  <c r="C122" i="14"/>
  <c r="E122" i="14" s="1"/>
  <c r="F122" i="14"/>
  <c r="B123" i="14" s="1"/>
  <c r="AD25" i="9"/>
  <c r="AD27" i="9" s="1"/>
  <c r="K38" i="17"/>
  <c r="J13" i="17"/>
  <c r="J36" i="17"/>
  <c r="D54" i="14"/>
  <c r="H121" i="15" a="1"/>
  <c r="H121" i="15" s="1"/>
  <c r="I121" i="15" s="1"/>
  <c r="I87" i="15"/>
  <c r="A158" i="15"/>
  <c r="B158" i="15" s="1" a="1"/>
  <c r="B158" i="15" s="1"/>
  <c r="F124" i="15"/>
  <c r="G124" i="15" s="1" a="1"/>
  <c r="G124" i="15" s="1"/>
  <c r="A124" i="15"/>
  <c r="B124" i="15" s="1" a="1"/>
  <c r="B124" i="15" s="1"/>
  <c r="F90" i="15"/>
  <c r="H89" i="15" a="1"/>
  <c r="H89" i="15" s="1"/>
  <c r="A91" i="15"/>
  <c r="C91" i="15" s="1" a="1"/>
  <c r="C91" i="15" s="1"/>
  <c r="I51" i="15"/>
  <c r="C91" i="14"/>
  <c r="B92" i="14"/>
  <c r="A56" i="14"/>
  <c r="C55" i="14" a="1"/>
  <c r="C55" i="14" s="1"/>
  <c r="G55" i="14" a="1"/>
  <c r="G55" i="14" s="1"/>
  <c r="B55" i="14" a="1"/>
  <c r="B55" i="14" s="1"/>
  <c r="F56" i="14"/>
  <c r="H55" i="14" a="1"/>
  <c r="H55" i="14" s="1"/>
  <c r="I54" i="14"/>
  <c r="I192" i="15"/>
  <c r="J191" i="15"/>
  <c r="E53" i="15" a="1"/>
  <c r="E53" i="15" s="1"/>
  <c r="D53" i="15" a="1"/>
  <c r="D53" i="15" s="1"/>
  <c r="B55" i="15"/>
  <c r="C54" i="15" a="1"/>
  <c r="C54" i="15" s="1"/>
  <c r="G52" i="15"/>
  <c r="I52" i="15" s="1"/>
  <c r="F52" i="15"/>
  <c r="H52" i="15" s="1"/>
  <c r="F17" i="10" l="1"/>
  <c r="AD22" i="8"/>
  <c r="C123" i="14"/>
  <c r="E123" i="14" s="1"/>
  <c r="F123" i="14"/>
  <c r="B124" i="14" s="1"/>
  <c r="L38" i="17"/>
  <c r="K13" i="17"/>
  <c r="K36" i="17"/>
  <c r="C122" i="15" a="1"/>
  <c r="C122" i="15" s="1"/>
  <c r="D122" i="15" s="1"/>
  <c r="C156" i="15" a="1"/>
  <c r="C156" i="15" s="1"/>
  <c r="D156" i="15" s="1"/>
  <c r="D88" i="15"/>
  <c r="H122" i="15" a="1"/>
  <c r="H122" i="15" s="1"/>
  <c r="I122" i="15" s="1"/>
  <c r="I88" i="15"/>
  <c r="C121" i="15" a="1"/>
  <c r="C121" i="15" s="1"/>
  <c r="D121" i="15" s="1"/>
  <c r="C155" i="15" a="1"/>
  <c r="C155" i="15" s="1"/>
  <c r="D155" i="15" s="1"/>
  <c r="D87" i="15"/>
  <c r="A159" i="15"/>
  <c r="B159" i="15" s="1" a="1"/>
  <c r="B159" i="15" s="1"/>
  <c r="F125" i="15"/>
  <c r="G125" i="15" s="1" a="1"/>
  <c r="G125" i="15" s="1"/>
  <c r="A125" i="15"/>
  <c r="B125" i="15" s="1" a="1"/>
  <c r="B125" i="15" s="1"/>
  <c r="F91" i="15"/>
  <c r="H90" i="15" a="1"/>
  <c r="H90" i="15" s="1"/>
  <c r="A92" i="15"/>
  <c r="C92" i="15" s="1" a="1"/>
  <c r="C92" i="15" s="1"/>
  <c r="C92" i="14"/>
  <c r="B93" i="14"/>
  <c r="D55" i="14"/>
  <c r="F57" i="14"/>
  <c r="H56" i="14" a="1"/>
  <c r="H56" i="14" s="1"/>
  <c r="I55" i="14"/>
  <c r="A57" i="14"/>
  <c r="C56" i="14" a="1"/>
  <c r="C56" i="14" s="1"/>
  <c r="G56" i="14" a="1"/>
  <c r="G56" i="14" s="1"/>
  <c r="B56" i="14" a="1"/>
  <c r="B56" i="14" s="1"/>
  <c r="I193" i="15"/>
  <c r="J192" i="15"/>
  <c r="E54" i="15" a="1"/>
  <c r="E54" i="15" s="1"/>
  <c r="D54" i="15" a="1"/>
  <c r="D54" i="15" s="1"/>
  <c r="B56" i="15"/>
  <c r="C55" i="15" a="1"/>
  <c r="C55" i="15" s="1"/>
  <c r="G53" i="15"/>
  <c r="I53" i="15" s="1"/>
  <c r="F53" i="15"/>
  <c r="H53" i="15" s="1"/>
  <c r="C124" i="14" l="1"/>
  <c r="E124" i="14" s="1"/>
  <c r="F124" i="14"/>
  <c r="B125" i="14" s="1"/>
  <c r="M38" i="17"/>
  <c r="L13" i="17"/>
  <c r="L36" i="17"/>
  <c r="C123" i="15" a="1"/>
  <c r="C123" i="15" s="1"/>
  <c r="D123" i="15" s="1"/>
  <c r="C157" i="15" a="1"/>
  <c r="C157" i="15" s="1"/>
  <c r="D157" i="15" s="1"/>
  <c r="D89" i="15"/>
  <c r="H123" i="15" a="1"/>
  <c r="H123" i="15" s="1"/>
  <c r="I123" i="15" s="1"/>
  <c r="I89" i="15"/>
  <c r="A160" i="15"/>
  <c r="B160" i="15" s="1" a="1"/>
  <c r="B160" i="15" s="1"/>
  <c r="F126" i="15"/>
  <c r="G126" i="15" s="1" a="1"/>
  <c r="G126" i="15" s="1"/>
  <c r="A126" i="15"/>
  <c r="B126" i="15" s="1" a="1"/>
  <c r="B126" i="15" s="1"/>
  <c r="F92" i="15"/>
  <c r="H91" i="15" a="1"/>
  <c r="H91" i="15" s="1"/>
  <c r="A93" i="15"/>
  <c r="C93" i="15" s="1" a="1"/>
  <c r="C93" i="15" s="1"/>
  <c r="I56" i="14"/>
  <c r="B94" i="14"/>
  <c r="C93" i="14"/>
  <c r="D56" i="14"/>
  <c r="A58" i="14"/>
  <c r="B57" i="14" a="1"/>
  <c r="B57" i="14" s="1"/>
  <c r="C57" i="14" a="1"/>
  <c r="C57" i="14" s="1"/>
  <c r="G57" i="14" a="1"/>
  <c r="G57" i="14" s="1"/>
  <c r="F58" i="14"/>
  <c r="H57" i="14" a="1"/>
  <c r="H57" i="14" s="1"/>
  <c r="I194" i="15"/>
  <c r="J193" i="15"/>
  <c r="E55" i="15" a="1"/>
  <c r="E55" i="15" s="1"/>
  <c r="D55" i="15" a="1"/>
  <c r="D55" i="15" s="1"/>
  <c r="B57" i="15"/>
  <c r="C56" i="15" a="1"/>
  <c r="C56" i="15" s="1"/>
  <c r="G54" i="15"/>
  <c r="I54" i="15" s="1"/>
  <c r="F54" i="15"/>
  <c r="H54" i="15" s="1"/>
  <c r="C125" i="14" l="1"/>
  <c r="E125" i="14" s="1"/>
  <c r="F125" i="14"/>
  <c r="B126" i="14" s="1"/>
  <c r="N38" i="17"/>
  <c r="M13" i="17"/>
  <c r="M36" i="17"/>
  <c r="H124" i="15" a="1"/>
  <c r="H124" i="15" s="1"/>
  <c r="I124" i="15" s="1"/>
  <c r="I90" i="15"/>
  <c r="C124" i="15" a="1"/>
  <c r="C124" i="15" s="1"/>
  <c r="D124" i="15" s="1"/>
  <c r="C158" i="15" a="1"/>
  <c r="C158" i="15" s="1"/>
  <c r="D158" i="15" s="1"/>
  <c r="D90" i="15"/>
  <c r="A161" i="15"/>
  <c r="B161" i="15" s="1" a="1"/>
  <c r="B161" i="15" s="1"/>
  <c r="F127" i="15"/>
  <c r="G127" i="15" s="1" a="1"/>
  <c r="G127" i="15" s="1"/>
  <c r="A127" i="15"/>
  <c r="B127" i="15" s="1" a="1"/>
  <c r="B127" i="15" s="1"/>
  <c r="F93" i="15"/>
  <c r="H92" i="15" a="1"/>
  <c r="H92" i="15" s="1"/>
  <c r="A94" i="15"/>
  <c r="C94" i="15" s="1" a="1"/>
  <c r="C94" i="15" s="1"/>
  <c r="B95" i="14"/>
  <c r="C94" i="14"/>
  <c r="D57" i="14"/>
  <c r="I57" i="14"/>
  <c r="A59" i="14"/>
  <c r="G58" i="14" a="1"/>
  <c r="G58" i="14" s="1"/>
  <c r="B58" i="14" a="1"/>
  <c r="B58" i="14" s="1"/>
  <c r="C58" i="14" a="1"/>
  <c r="C58" i="14" s="1"/>
  <c r="F59" i="14"/>
  <c r="H58" i="14" a="1"/>
  <c r="H58" i="14" s="1"/>
  <c r="I195" i="15"/>
  <c r="J194" i="15"/>
  <c r="E56" i="15" a="1"/>
  <c r="E56" i="15" s="1"/>
  <c r="D56" i="15" a="1"/>
  <c r="D56" i="15" s="1"/>
  <c r="B58" i="15"/>
  <c r="C57" i="15" a="1"/>
  <c r="C57" i="15" s="1"/>
  <c r="G55" i="15"/>
  <c r="I55" i="15" s="1"/>
  <c r="F55" i="15"/>
  <c r="H55" i="15" s="1"/>
  <c r="C126" i="14" l="1"/>
  <c r="E126" i="14" s="1"/>
  <c r="F126" i="14"/>
  <c r="B127" i="14" s="1"/>
  <c r="O38" i="17"/>
  <c r="N13" i="17"/>
  <c r="N36" i="17"/>
  <c r="C125" i="15" a="1"/>
  <c r="C125" i="15" s="1"/>
  <c r="D125" i="15" s="1"/>
  <c r="C159" i="15" a="1"/>
  <c r="C159" i="15" s="1"/>
  <c r="D159" i="15" s="1"/>
  <c r="D91" i="15"/>
  <c r="H125" i="15" a="1"/>
  <c r="H125" i="15" s="1"/>
  <c r="I125" i="15" s="1"/>
  <c r="I91" i="15"/>
  <c r="A162" i="15"/>
  <c r="B162" i="15" s="1" a="1"/>
  <c r="B162" i="15" s="1"/>
  <c r="F128" i="15"/>
  <c r="G128" i="15" s="1" a="1"/>
  <c r="G128" i="15" s="1"/>
  <c r="A128" i="15"/>
  <c r="B128" i="15" s="1" a="1"/>
  <c r="B128" i="15" s="1"/>
  <c r="F94" i="15"/>
  <c r="H93" i="15" a="1"/>
  <c r="H93" i="15" s="1"/>
  <c r="A95" i="15"/>
  <c r="C95" i="15" s="1" a="1"/>
  <c r="C95" i="15" s="1"/>
  <c r="B96" i="14"/>
  <c r="C95" i="14"/>
  <c r="A60" i="14"/>
  <c r="G59" i="14" a="1"/>
  <c r="G59" i="14" s="1"/>
  <c r="B59" i="14" a="1"/>
  <c r="B59" i="14" s="1"/>
  <c r="C59" i="14" a="1"/>
  <c r="C59" i="14" s="1"/>
  <c r="D58" i="14"/>
  <c r="F60" i="14"/>
  <c r="H59" i="14" a="1"/>
  <c r="H59" i="14" s="1"/>
  <c r="I58" i="14"/>
  <c r="I196" i="15"/>
  <c r="J196" i="15" s="1"/>
  <c r="J195" i="15"/>
  <c r="E57" i="15" a="1"/>
  <c r="E57" i="15" s="1"/>
  <c r="D57" i="15" a="1"/>
  <c r="D57" i="15" s="1"/>
  <c r="B59" i="15"/>
  <c r="C58" i="15" a="1"/>
  <c r="C58" i="15" s="1"/>
  <c r="G56" i="15"/>
  <c r="I56" i="15" s="1"/>
  <c r="F56" i="15"/>
  <c r="H56" i="15" s="1"/>
  <c r="J197" i="15" l="1"/>
  <c r="C185" i="15" s="1"/>
  <c r="F185" i="15" s="1"/>
  <c r="C127" i="14"/>
  <c r="E127" i="14" s="1"/>
  <c r="F127" i="14"/>
  <c r="B128" i="14" s="1"/>
  <c r="P38" i="17"/>
  <c r="O13" i="17"/>
  <c r="O36" i="17"/>
  <c r="B186" i="15"/>
  <c r="B22" i="10"/>
  <c r="C126" i="15" a="1"/>
  <c r="C126" i="15" s="1"/>
  <c r="D126" i="15" s="1"/>
  <c r="C160" i="15" a="1"/>
  <c r="C160" i="15" s="1"/>
  <c r="D160" i="15" s="1"/>
  <c r="D92" i="15"/>
  <c r="H126" i="15" a="1"/>
  <c r="H126" i="15" s="1"/>
  <c r="I126" i="15" s="1"/>
  <c r="I92" i="15"/>
  <c r="A163" i="15"/>
  <c r="B163" i="15" s="1" a="1"/>
  <c r="B163" i="15" s="1"/>
  <c r="F129" i="15"/>
  <c r="G129" i="15" s="1" a="1"/>
  <c r="G129" i="15" s="1"/>
  <c r="A129" i="15"/>
  <c r="B129" i="15" s="1" a="1"/>
  <c r="B129" i="15" s="1"/>
  <c r="F95" i="15"/>
  <c r="H94" i="15" a="1"/>
  <c r="H94" i="15" s="1"/>
  <c r="A96" i="15"/>
  <c r="C96" i="15" s="1" a="1"/>
  <c r="C96" i="15" s="1"/>
  <c r="B29" i="9" a="1"/>
  <c r="B97" i="14"/>
  <c r="C96" i="14"/>
  <c r="D59" i="14"/>
  <c r="I59" i="14"/>
  <c r="F61" i="14"/>
  <c r="H60" i="14" a="1"/>
  <c r="H60" i="14" s="1"/>
  <c r="A61" i="14"/>
  <c r="C60" i="14" a="1"/>
  <c r="C60" i="14" s="1"/>
  <c r="G60" i="14" a="1"/>
  <c r="G60" i="14" s="1"/>
  <c r="B60" i="14" a="1"/>
  <c r="B60" i="14" s="1"/>
  <c r="C182" i="15" a="1"/>
  <c r="C182" i="15" s="1"/>
  <c r="C186" i="15"/>
  <c r="E58" i="15" a="1"/>
  <c r="E58" i="15" s="1"/>
  <c r="D58" i="15" a="1"/>
  <c r="D58" i="15" s="1"/>
  <c r="B60" i="15"/>
  <c r="C59" i="15" a="1"/>
  <c r="C59" i="15" s="1"/>
  <c r="G57" i="15"/>
  <c r="I57" i="15" s="1"/>
  <c r="F57" i="15"/>
  <c r="H57" i="15" s="1"/>
  <c r="C128" i="14" l="1"/>
  <c r="E128" i="14" s="1"/>
  <c r="F128" i="14"/>
  <c r="B129" i="14" s="1"/>
  <c r="Q38" i="17"/>
  <c r="P13" i="17"/>
  <c r="P36" i="17"/>
  <c r="C127" i="15" a="1"/>
  <c r="C127" i="15" s="1"/>
  <c r="D127" i="15" s="1"/>
  <c r="C161" i="15" a="1"/>
  <c r="C161" i="15" s="1"/>
  <c r="D161" i="15" s="1"/>
  <c r="D93" i="15"/>
  <c r="H127" i="15" a="1"/>
  <c r="H127" i="15" s="1"/>
  <c r="I127" i="15" s="1"/>
  <c r="I93" i="15"/>
  <c r="A164" i="15"/>
  <c r="B164" i="15" s="1" a="1"/>
  <c r="B164" i="15" s="1"/>
  <c r="F130" i="15"/>
  <c r="G130" i="15" s="1" a="1"/>
  <c r="G130" i="15" s="1"/>
  <c r="A130" i="15"/>
  <c r="B130" i="15" s="1" a="1"/>
  <c r="B130" i="15" s="1"/>
  <c r="F96" i="15"/>
  <c r="H95" i="15" a="1"/>
  <c r="H95" i="15" s="1"/>
  <c r="A97" i="15"/>
  <c r="C97" i="15" s="1" a="1"/>
  <c r="C97" i="15" s="1"/>
  <c r="S29" i="9"/>
  <c r="S32" i="9" s="1"/>
  <c r="T29" i="9"/>
  <c r="T32" i="9" s="1"/>
  <c r="V29" i="9"/>
  <c r="V32" i="9" s="1"/>
  <c r="W29" i="9"/>
  <c r="W32" i="9" s="1"/>
  <c r="U29" i="9"/>
  <c r="U32" i="9" s="1"/>
  <c r="Y29" i="9"/>
  <c r="Y32" i="9" s="1"/>
  <c r="Z29" i="9"/>
  <c r="Z32" i="9" s="1"/>
  <c r="P29" i="9"/>
  <c r="P32" i="9" s="1"/>
  <c r="X29" i="9"/>
  <c r="X32" i="9" s="1"/>
  <c r="Q29" i="9"/>
  <c r="Q32" i="9" s="1"/>
  <c r="O29" i="9"/>
  <c r="R29" i="9"/>
  <c r="R32" i="9" s="1"/>
  <c r="B29" i="9"/>
  <c r="I32" i="9"/>
  <c r="J32" i="9"/>
  <c r="D32" i="9"/>
  <c r="L32" i="9"/>
  <c r="M32" i="9"/>
  <c r="G32" i="9"/>
  <c r="H32" i="9"/>
  <c r="C32" i="9"/>
  <c r="K32" i="9"/>
  <c r="E32" i="9"/>
  <c r="F32" i="9"/>
  <c r="I60" i="14"/>
  <c r="C97" i="14"/>
  <c r="B98" i="14"/>
  <c r="D60" i="14"/>
  <c r="A62" i="14"/>
  <c r="C61" i="14" a="1"/>
  <c r="C61" i="14" s="1"/>
  <c r="G61" i="14" a="1"/>
  <c r="G61" i="14" s="1"/>
  <c r="B61" i="14" a="1"/>
  <c r="B61" i="14" s="1"/>
  <c r="F62" i="14"/>
  <c r="H61" i="14" a="1"/>
  <c r="H61" i="14" s="1"/>
  <c r="D187" i="15"/>
  <c r="AB29" i="8" s="1"/>
  <c r="D188" i="15"/>
  <c r="AC29" i="8" s="1"/>
  <c r="D189" i="15"/>
  <c r="AD29" i="8" s="1"/>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186" i="15"/>
  <c r="Z29" i="8" s="1"/>
  <c r="E59" i="15" a="1"/>
  <c r="E59" i="15" s="1"/>
  <c r="D59" i="15" a="1"/>
  <c r="D59" i="15" s="1"/>
  <c r="B61" i="15"/>
  <c r="C60" i="15" a="1"/>
  <c r="C60" i="15" s="1"/>
  <c r="G58" i="15"/>
  <c r="I58" i="15" s="1"/>
  <c r="F58" i="15"/>
  <c r="H58" i="15" s="1"/>
  <c r="AA29" i="9" l="1"/>
  <c r="AA32" i="9" s="1"/>
  <c r="C129" i="14"/>
  <c r="E129" i="14" s="1"/>
  <c r="F129" i="14"/>
  <c r="B130" i="14" s="1"/>
  <c r="R38" i="17"/>
  <c r="Q13" i="17"/>
  <c r="Q36" i="17"/>
  <c r="B32" i="9"/>
  <c r="N29" i="9"/>
  <c r="D61" i="14"/>
  <c r="H128" i="15" a="1"/>
  <c r="H128" i="15" s="1"/>
  <c r="I128" i="15" s="1"/>
  <c r="I94" i="15"/>
  <c r="A165" i="15"/>
  <c r="B165" i="15" s="1" a="1"/>
  <c r="B165" i="15" s="1"/>
  <c r="F131" i="15"/>
  <c r="G131" i="15" s="1" a="1"/>
  <c r="G131" i="15" s="1"/>
  <c r="A131" i="15"/>
  <c r="B131" i="15" s="1" a="1"/>
  <c r="B131" i="15" s="1"/>
  <c r="F97" i="15"/>
  <c r="H96" i="15" a="1"/>
  <c r="H96" i="15" s="1"/>
  <c r="A98" i="15"/>
  <c r="C98" i="15" s="1" a="1"/>
  <c r="C98" i="15" s="1"/>
  <c r="O32" i="9"/>
  <c r="N32" i="9"/>
  <c r="B26" i="10" s="1"/>
  <c r="B99" i="14"/>
  <c r="C98" i="14"/>
  <c r="I61" i="14"/>
  <c r="F63" i="14"/>
  <c r="H62" i="14" a="1"/>
  <c r="H62" i="14" s="1"/>
  <c r="A63" i="14"/>
  <c r="C62" i="14" a="1"/>
  <c r="C62" i="14" s="1"/>
  <c r="G62" i="14" a="1"/>
  <c r="G62" i="14" s="1"/>
  <c r="B62" i="14" a="1"/>
  <c r="B62" i="14" s="1"/>
  <c r="E186" i="15"/>
  <c r="F186" i="15" s="1"/>
  <c r="S30" i="8"/>
  <c r="O30" i="8"/>
  <c r="T30" i="8"/>
  <c r="U30" i="8"/>
  <c r="V30" i="8"/>
  <c r="W30" i="8"/>
  <c r="Q30" i="8"/>
  <c r="Z30" i="8"/>
  <c r="P30" i="8"/>
  <c r="X30" i="8"/>
  <c r="Y30" i="8"/>
  <c r="R30" i="8"/>
  <c r="E60" i="15" a="1"/>
  <c r="E60" i="15" s="1"/>
  <c r="D60" i="15" a="1"/>
  <c r="D60" i="15" s="1"/>
  <c r="B62" i="15"/>
  <c r="C61" i="15" a="1"/>
  <c r="C61" i="15" s="1"/>
  <c r="G59" i="15"/>
  <c r="I59" i="15" s="1"/>
  <c r="F59" i="15"/>
  <c r="H59" i="15" s="1"/>
  <c r="C130" i="14" l="1"/>
  <c r="E130" i="14" s="1"/>
  <c r="F130" i="14"/>
  <c r="B131" i="14" s="1"/>
  <c r="C26" i="10"/>
  <c r="B28" i="10"/>
  <c r="S38" i="17"/>
  <c r="R13" i="17"/>
  <c r="R36" i="17"/>
  <c r="B187" i="15"/>
  <c r="C187" i="15" s="1"/>
  <c r="AB29" i="9" s="1"/>
  <c r="C22" i="10"/>
  <c r="C129" i="15" a="1"/>
  <c r="C129" i="15" s="1"/>
  <c r="D129" i="15" s="1"/>
  <c r="C163" i="15" a="1"/>
  <c r="C163" i="15" s="1"/>
  <c r="D163" i="15" s="1"/>
  <c r="D95" i="15"/>
  <c r="H129" i="15" a="1"/>
  <c r="H129" i="15" s="1"/>
  <c r="I129" i="15" s="1"/>
  <c r="I95" i="15"/>
  <c r="C128" i="15" a="1"/>
  <c r="C128" i="15" s="1"/>
  <c r="D128" i="15" s="1"/>
  <c r="C162" i="15" a="1"/>
  <c r="C162" i="15" s="1"/>
  <c r="D162" i="15" s="1"/>
  <c r="D94" i="15"/>
  <c r="A166" i="15"/>
  <c r="B166" i="15" s="1" a="1"/>
  <c r="B166" i="15" s="1"/>
  <c r="F132" i="15"/>
  <c r="G132" i="15" s="1" a="1"/>
  <c r="G132" i="15" s="1"/>
  <c r="A132" i="15"/>
  <c r="B132" i="15" s="1" a="1"/>
  <c r="B132" i="15" s="1"/>
  <c r="F98" i="15"/>
  <c r="H97" i="15" a="1"/>
  <c r="H97" i="15" s="1"/>
  <c r="A99" i="15"/>
  <c r="C99" i="15" s="1" a="1"/>
  <c r="C99" i="15" s="1"/>
  <c r="E187" i="15"/>
  <c r="F187" i="15" s="1"/>
  <c r="I62" i="14"/>
  <c r="B100" i="14"/>
  <c r="C99" i="14"/>
  <c r="D62" i="14"/>
  <c r="A64" i="14"/>
  <c r="G63" i="14" a="1"/>
  <c r="G63" i="14" s="1"/>
  <c r="C63" i="14" a="1"/>
  <c r="C63" i="14" s="1"/>
  <c r="B63" i="14" a="1"/>
  <c r="B63" i="14" s="1"/>
  <c r="F64" i="14"/>
  <c r="H63" i="14" a="1"/>
  <c r="H63" i="14" s="1"/>
  <c r="AA29" i="8"/>
  <c r="AA30" i="8" s="1"/>
  <c r="AA32" i="8" s="1"/>
  <c r="E61" i="15" a="1"/>
  <c r="E61" i="15" s="1"/>
  <c r="D61" i="15" a="1"/>
  <c r="D61" i="15" s="1"/>
  <c r="B63" i="15"/>
  <c r="C62" i="15" a="1"/>
  <c r="C62" i="15" s="1"/>
  <c r="G60" i="15"/>
  <c r="I60" i="15" s="1"/>
  <c r="F60" i="15"/>
  <c r="H60" i="15" s="1"/>
  <c r="C131" i="14" l="1"/>
  <c r="E131" i="14" s="1"/>
  <c r="F131" i="14"/>
  <c r="B132" i="14" s="1"/>
  <c r="C28" i="10"/>
  <c r="T38" i="17"/>
  <c r="S13" i="17"/>
  <c r="S36" i="17"/>
  <c r="B188" i="15"/>
  <c r="C188" i="15" s="1"/>
  <c r="AC29" i="9" s="1"/>
  <c r="D22" i="10"/>
  <c r="D63" i="14"/>
  <c r="H130" i="15" a="1"/>
  <c r="H130" i="15" s="1"/>
  <c r="I130" i="15" s="1"/>
  <c r="I96" i="15"/>
  <c r="A167" i="15"/>
  <c r="B167" i="15" s="1" a="1"/>
  <c r="B167" i="15" s="1"/>
  <c r="F133" i="15"/>
  <c r="G133" i="15" s="1" a="1"/>
  <c r="G133" i="15" s="1"/>
  <c r="A133" i="15"/>
  <c r="B133" i="15" s="1" a="1"/>
  <c r="B133" i="15" s="1"/>
  <c r="F99" i="15"/>
  <c r="H98" i="15" a="1"/>
  <c r="H98" i="15" s="1"/>
  <c r="A100" i="15"/>
  <c r="C100" i="15" s="1" a="1"/>
  <c r="C100" i="15" s="1"/>
  <c r="C100" i="14"/>
  <c r="B101" i="14"/>
  <c r="F65" i="14"/>
  <c r="H64" i="14" a="1"/>
  <c r="H64" i="14" s="1"/>
  <c r="I63" i="14"/>
  <c r="A65" i="14"/>
  <c r="B64" i="14" a="1"/>
  <c r="B64" i="14" s="1"/>
  <c r="G64" i="14" a="1"/>
  <c r="G64" i="14" s="1"/>
  <c r="C64" i="14" a="1"/>
  <c r="C64" i="14" s="1"/>
  <c r="E62" i="15" a="1"/>
  <c r="E62" i="15" s="1"/>
  <c r="D62" i="15" a="1"/>
  <c r="D62" i="15" s="1"/>
  <c r="B64" i="15"/>
  <c r="C63" i="15" a="1"/>
  <c r="C63" i="15" s="1"/>
  <c r="G61" i="15"/>
  <c r="I61" i="15" s="1"/>
  <c r="F61" i="15"/>
  <c r="H61" i="15" s="1"/>
  <c r="C132" i="14" l="1"/>
  <c r="E132" i="14" s="1"/>
  <c r="F132" i="14"/>
  <c r="B133" i="14" s="1"/>
  <c r="U38" i="17"/>
  <c r="T13" i="17"/>
  <c r="T36" i="17"/>
  <c r="E188" i="15"/>
  <c r="F188" i="15" s="1"/>
  <c r="H131" i="15" a="1"/>
  <c r="H131" i="15" s="1"/>
  <c r="I131" i="15" s="1"/>
  <c r="I97" i="15"/>
  <c r="C131" i="15" a="1"/>
  <c r="C131" i="15" s="1"/>
  <c r="D131" i="15" s="1"/>
  <c r="C165" i="15" a="1"/>
  <c r="C165" i="15" s="1"/>
  <c r="D165" i="15" s="1"/>
  <c r="D97" i="15"/>
  <c r="C130" i="15" a="1"/>
  <c r="C130" i="15" s="1"/>
  <c r="D130" i="15" s="1"/>
  <c r="C164" i="15" a="1"/>
  <c r="C164" i="15" s="1"/>
  <c r="D164" i="15" s="1"/>
  <c r="D96" i="15"/>
  <c r="A168" i="15"/>
  <c r="B168" i="15" s="1" a="1"/>
  <c r="B168" i="15" s="1"/>
  <c r="F134" i="15"/>
  <c r="G134" i="15" s="1" a="1"/>
  <c r="G134" i="15" s="1"/>
  <c r="A134" i="15"/>
  <c r="B134" i="15" s="1" a="1"/>
  <c r="B134" i="15" s="1"/>
  <c r="F100" i="15"/>
  <c r="H99" i="15" a="1"/>
  <c r="H99" i="15" s="1"/>
  <c r="A101" i="15"/>
  <c r="C101" i="15" s="1" a="1"/>
  <c r="C101" i="15" s="1"/>
  <c r="I64" i="14"/>
  <c r="C101" i="14"/>
  <c r="B102" i="14"/>
  <c r="D64" i="14"/>
  <c r="A66" i="14"/>
  <c r="B65" i="14" a="1"/>
  <c r="B65" i="14" s="1"/>
  <c r="C65" i="14" a="1"/>
  <c r="C65" i="14" s="1"/>
  <c r="G65" i="14" a="1"/>
  <c r="G65" i="14" s="1"/>
  <c r="F66" i="14"/>
  <c r="H65" i="14" a="1"/>
  <c r="H65" i="14" s="1"/>
  <c r="P32" i="8"/>
  <c r="E63" i="15" a="1"/>
  <c r="E63" i="15" s="1"/>
  <c r="D63" i="15" a="1"/>
  <c r="D63" i="15" s="1"/>
  <c r="B65" i="15"/>
  <c r="C64" i="15" a="1"/>
  <c r="C64" i="15" s="1"/>
  <c r="G62" i="15"/>
  <c r="I62" i="15" s="1"/>
  <c r="F62" i="15"/>
  <c r="H62" i="15" s="1"/>
  <c r="C133" i="14" l="1"/>
  <c r="E133" i="14" s="1"/>
  <c r="F133" i="14"/>
  <c r="B134" i="14" s="1"/>
  <c r="V38" i="17"/>
  <c r="U13" i="17"/>
  <c r="U36" i="17"/>
  <c r="B189" i="15"/>
  <c r="C189" i="15" s="1"/>
  <c r="AD29" i="9" s="1"/>
  <c r="E22" i="10"/>
  <c r="H132" i="15" a="1"/>
  <c r="H132" i="15" s="1"/>
  <c r="I132" i="15" s="1"/>
  <c r="I98" i="15"/>
  <c r="C132" i="15" a="1"/>
  <c r="C132" i="15" s="1"/>
  <c r="D132" i="15" s="1"/>
  <c r="C166" i="15" a="1"/>
  <c r="C166" i="15" s="1"/>
  <c r="D166" i="15" s="1"/>
  <c r="D98" i="15"/>
  <c r="A169" i="15"/>
  <c r="B169" i="15" s="1" a="1"/>
  <c r="B169" i="15" s="1"/>
  <c r="F135" i="15"/>
  <c r="G135" i="15" s="1" a="1"/>
  <c r="G135" i="15" s="1"/>
  <c r="A135" i="15"/>
  <c r="B135" i="15" s="1" a="1"/>
  <c r="B135" i="15" s="1"/>
  <c r="F101" i="15"/>
  <c r="H100" i="15" a="1"/>
  <c r="H100" i="15" s="1"/>
  <c r="A102" i="15"/>
  <c r="C102" i="15" s="1" a="1"/>
  <c r="C102" i="15" s="1"/>
  <c r="C102" i="14"/>
  <c r="B103" i="14"/>
  <c r="I65" i="14"/>
  <c r="D65" i="14"/>
  <c r="A67" i="14"/>
  <c r="G66" i="14" a="1"/>
  <c r="G66" i="14" s="1"/>
  <c r="C66" i="14" a="1"/>
  <c r="C66" i="14" s="1"/>
  <c r="B66" i="14" a="1"/>
  <c r="B66" i="14" s="1"/>
  <c r="F67" i="14"/>
  <c r="H66" i="14" a="1"/>
  <c r="H66" i="14" s="1"/>
  <c r="S32" i="8"/>
  <c r="E64" i="15" a="1"/>
  <c r="E64" i="15" s="1"/>
  <c r="D64" i="15" a="1"/>
  <c r="D64" i="15" s="1"/>
  <c r="B66" i="15"/>
  <c r="C65" i="15" a="1"/>
  <c r="C65" i="15" s="1"/>
  <c r="G63" i="15"/>
  <c r="I63" i="15" s="1"/>
  <c r="F63" i="15"/>
  <c r="H63" i="15" s="1"/>
  <c r="C134" i="14" l="1"/>
  <c r="E134" i="14" s="1"/>
  <c r="F134" i="14"/>
  <c r="B135" i="14" s="1"/>
  <c r="W38" i="17"/>
  <c r="V13" i="17"/>
  <c r="V36" i="17"/>
  <c r="E189" i="15"/>
  <c r="F189" i="15" s="1"/>
  <c r="C133" i="15" a="1"/>
  <c r="C133" i="15" s="1"/>
  <c r="D133" i="15" s="1"/>
  <c r="C167" i="15" a="1"/>
  <c r="C167" i="15" s="1"/>
  <c r="D167" i="15" s="1"/>
  <c r="D99" i="15"/>
  <c r="H133" i="15" a="1"/>
  <c r="H133" i="15" s="1"/>
  <c r="I133" i="15" s="1"/>
  <c r="I99" i="15"/>
  <c r="A170" i="15"/>
  <c r="B170" i="15" s="1" a="1"/>
  <c r="B170" i="15" s="1"/>
  <c r="F136" i="15"/>
  <c r="G136" i="15" s="1" a="1"/>
  <c r="G136" i="15" s="1"/>
  <c r="A136" i="15"/>
  <c r="B136" i="15" s="1" a="1"/>
  <c r="B136" i="15" s="1"/>
  <c r="F102" i="15"/>
  <c r="H101" i="15" a="1"/>
  <c r="H101" i="15" s="1"/>
  <c r="A103" i="15"/>
  <c r="C103" i="15" s="1" a="1"/>
  <c r="C103" i="15" s="1"/>
  <c r="C103" i="14"/>
  <c r="B104" i="14"/>
  <c r="D66" i="14"/>
  <c r="A68" i="14"/>
  <c r="G67" i="14" a="1"/>
  <c r="G67" i="14" s="1"/>
  <c r="C67" i="14" a="1"/>
  <c r="C67" i="14" s="1"/>
  <c r="B67" i="14" a="1"/>
  <c r="B67" i="14" s="1"/>
  <c r="F68" i="14"/>
  <c r="H67" i="14" a="1"/>
  <c r="H67" i="14" s="1"/>
  <c r="I66" i="14"/>
  <c r="T32" i="8"/>
  <c r="E65" i="15" a="1"/>
  <c r="E65" i="15" s="1"/>
  <c r="D65" i="15" a="1"/>
  <c r="D65" i="15" s="1"/>
  <c r="B67" i="15"/>
  <c r="C66" i="15" a="1"/>
  <c r="C66" i="15" s="1"/>
  <c r="G64" i="15"/>
  <c r="I64" i="15" s="1"/>
  <c r="F64" i="15"/>
  <c r="H64" i="15" s="1"/>
  <c r="C135" i="14" l="1"/>
  <c r="E135" i="14" s="1"/>
  <c r="F135" i="14"/>
  <c r="B136" i="14" s="1"/>
  <c r="X38" i="17"/>
  <c r="W13" i="17"/>
  <c r="W36" i="17"/>
  <c r="B190" i="15"/>
  <c r="C190" i="15" s="1"/>
  <c r="E190" i="15" s="1"/>
  <c r="F190" i="15" s="1"/>
  <c r="B191" i="15" s="1"/>
  <c r="C191" i="15" s="1"/>
  <c r="E191" i="15" s="1"/>
  <c r="F191" i="15" s="1"/>
  <c r="B192" i="15" s="1"/>
  <c r="C192" i="15" s="1"/>
  <c r="E192" i="15" s="1"/>
  <c r="F192" i="15" s="1"/>
  <c r="B193" i="15" s="1"/>
  <c r="C193" i="15" s="1"/>
  <c r="E193" i="15" s="1"/>
  <c r="F193" i="15" s="1"/>
  <c r="B194" i="15" s="1"/>
  <c r="C194" i="15" s="1"/>
  <c r="E194" i="15" s="1"/>
  <c r="F194" i="15" s="1"/>
  <c r="B195" i="15" s="1"/>
  <c r="C195" i="15" s="1"/>
  <c r="E195" i="15" s="1"/>
  <c r="F195" i="15" s="1"/>
  <c r="B196" i="15" s="1"/>
  <c r="C196" i="15" s="1"/>
  <c r="E196" i="15" s="1"/>
  <c r="F196" i="15" s="1"/>
  <c r="B197" i="15" s="1"/>
  <c r="C197" i="15" s="1"/>
  <c r="E197" i="15" s="1"/>
  <c r="F197" i="15" s="1"/>
  <c r="B198" i="15" s="1"/>
  <c r="C198" i="15" s="1"/>
  <c r="E198" i="15" s="1"/>
  <c r="F198" i="15" s="1"/>
  <c r="B199" i="15" s="1"/>
  <c r="C199" i="15" s="1"/>
  <c r="E199" i="15" s="1"/>
  <c r="F199" i="15" s="1"/>
  <c r="B200" i="15" s="1"/>
  <c r="C200" i="15" s="1"/>
  <c r="E200" i="15" s="1"/>
  <c r="F200" i="15" s="1"/>
  <c r="B201" i="15" s="1"/>
  <c r="C201" i="15" s="1"/>
  <c r="E201" i="15" s="1"/>
  <c r="F201" i="15" s="1"/>
  <c r="B202" i="15" s="1"/>
  <c r="C202" i="15" s="1"/>
  <c r="E202" i="15" s="1"/>
  <c r="F202" i="15" s="1"/>
  <c r="B203" i="15" s="1"/>
  <c r="C203" i="15" s="1"/>
  <c r="E203" i="15" s="1"/>
  <c r="F203" i="15" s="1"/>
  <c r="B204" i="15" s="1"/>
  <c r="C204" i="15" s="1"/>
  <c r="E204" i="15" s="1"/>
  <c r="F204" i="15" s="1"/>
  <c r="B205" i="15" s="1"/>
  <c r="F22" i="10"/>
  <c r="D67" i="14"/>
  <c r="H134" i="15" a="1"/>
  <c r="H134" i="15" s="1"/>
  <c r="I134" i="15" s="1"/>
  <c r="I100" i="15"/>
  <c r="A171" i="15"/>
  <c r="B171" i="15" s="1" a="1"/>
  <c r="B171" i="15" s="1"/>
  <c r="F137" i="15"/>
  <c r="G137" i="15" s="1" a="1"/>
  <c r="G137" i="15" s="1"/>
  <c r="A137" i="15"/>
  <c r="B137" i="15" s="1" a="1"/>
  <c r="B137" i="15" s="1"/>
  <c r="F103" i="15"/>
  <c r="H102" i="15" a="1"/>
  <c r="H102" i="15" s="1"/>
  <c r="A104" i="15"/>
  <c r="C104" i="15" s="1" a="1"/>
  <c r="C104" i="15" s="1"/>
  <c r="B105" i="14"/>
  <c r="C104" i="14"/>
  <c r="F69" i="14"/>
  <c r="H68" i="14" a="1"/>
  <c r="H68" i="14" s="1"/>
  <c r="I67" i="14"/>
  <c r="A69" i="14"/>
  <c r="G68" i="14" a="1"/>
  <c r="G68" i="14" s="1"/>
  <c r="C68" i="14" a="1"/>
  <c r="C68" i="14" s="1"/>
  <c r="B68" i="14" a="1"/>
  <c r="B68" i="14" s="1"/>
  <c r="U32" i="8"/>
  <c r="C205" i="15"/>
  <c r="E205" i="15" s="1"/>
  <c r="F205" i="15" s="1"/>
  <c r="B206" i="15" s="1"/>
  <c r="E66" i="15" a="1"/>
  <c r="E66" i="15" s="1"/>
  <c r="D66" i="15" a="1"/>
  <c r="D66" i="15" s="1"/>
  <c r="B68" i="15"/>
  <c r="C67" i="15" a="1"/>
  <c r="C67" i="15" s="1"/>
  <c r="G65" i="15"/>
  <c r="I65" i="15" s="1"/>
  <c r="F65" i="15"/>
  <c r="H65" i="15" s="1"/>
  <c r="C136" i="14" l="1"/>
  <c r="E136" i="14" s="1"/>
  <c r="F136" i="14"/>
  <c r="B137" i="14" s="1"/>
  <c r="Y38" i="17"/>
  <c r="X13" i="17"/>
  <c r="X36" i="17"/>
  <c r="D68" i="14"/>
  <c r="H135" i="15" a="1"/>
  <c r="H135" i="15" s="1"/>
  <c r="I135" i="15" s="1"/>
  <c r="I101" i="15"/>
  <c r="C134" i="15" a="1"/>
  <c r="C134" i="15" s="1"/>
  <c r="D134" i="15" s="1"/>
  <c r="C168" i="15" a="1"/>
  <c r="C168" i="15" s="1"/>
  <c r="D168" i="15" s="1"/>
  <c r="D100" i="15"/>
  <c r="A172" i="15"/>
  <c r="B172" i="15" s="1" a="1"/>
  <c r="B172" i="15" s="1"/>
  <c r="F138" i="15"/>
  <c r="G138" i="15" s="1" a="1"/>
  <c r="G138" i="15" s="1"/>
  <c r="A138" i="15"/>
  <c r="B138" i="15" s="1" a="1"/>
  <c r="B138" i="15" s="1"/>
  <c r="F104" i="15"/>
  <c r="H103" i="15" a="1"/>
  <c r="H103" i="15" s="1"/>
  <c r="A105" i="15"/>
  <c r="C105" i="15" s="1" a="1"/>
  <c r="C105" i="15" s="1"/>
  <c r="I68" i="14"/>
  <c r="B106" i="14"/>
  <c r="C105" i="14"/>
  <c r="A70" i="14"/>
  <c r="G69" i="14" a="1"/>
  <c r="G69" i="14" s="1"/>
  <c r="C69" i="14" a="1"/>
  <c r="C69" i="14" s="1"/>
  <c r="B69" i="14" a="1"/>
  <c r="B69" i="14" s="1"/>
  <c r="F70" i="14"/>
  <c r="H69" i="14" a="1"/>
  <c r="H69" i="14" s="1"/>
  <c r="C206" i="15"/>
  <c r="E206" i="15" s="1"/>
  <c r="F206" i="15" s="1"/>
  <c r="B207" i="15" s="1"/>
  <c r="E67" i="15" a="1"/>
  <c r="E67" i="15" s="1"/>
  <c r="D67" i="15" a="1"/>
  <c r="D67" i="15" s="1"/>
  <c r="B69" i="15"/>
  <c r="C68" i="15" a="1"/>
  <c r="C68" i="15" s="1"/>
  <c r="G66" i="15"/>
  <c r="I66" i="15" s="1"/>
  <c r="F66" i="15"/>
  <c r="H66" i="15" s="1"/>
  <c r="C137" i="14" l="1"/>
  <c r="E137" i="14" s="1"/>
  <c r="F137" i="14"/>
  <c r="B138" i="14" s="1"/>
  <c r="Z38" i="17"/>
  <c r="Y13" i="17"/>
  <c r="Y36" i="17"/>
  <c r="D69" i="14"/>
  <c r="H136" i="15" a="1"/>
  <c r="H136" i="15" s="1"/>
  <c r="I136" i="15" s="1"/>
  <c r="I102" i="15"/>
  <c r="C135" i="15" a="1"/>
  <c r="C135" i="15" s="1"/>
  <c r="D135" i="15" s="1"/>
  <c r="C169" i="15" a="1"/>
  <c r="C169" i="15" s="1"/>
  <c r="D169" i="15" s="1"/>
  <c r="D101" i="15"/>
  <c r="A173" i="15"/>
  <c r="B173" i="15" s="1" a="1"/>
  <c r="B173" i="15" s="1"/>
  <c r="F139" i="15"/>
  <c r="G139" i="15" s="1" a="1"/>
  <c r="G139" i="15" s="1"/>
  <c r="A139" i="15"/>
  <c r="B139" i="15" s="1" a="1"/>
  <c r="B139" i="15" s="1"/>
  <c r="F105" i="15"/>
  <c r="H104" i="15" a="1"/>
  <c r="H104" i="15" s="1"/>
  <c r="A106" i="15"/>
  <c r="C106" i="15" s="1" a="1"/>
  <c r="C106" i="15" s="1"/>
  <c r="B107" i="14"/>
  <c r="C106" i="14"/>
  <c r="F71" i="14"/>
  <c r="H70" i="14" a="1"/>
  <c r="H70" i="14" s="1"/>
  <c r="I69" i="14"/>
  <c r="A71" i="14"/>
  <c r="B70" i="14" a="1"/>
  <c r="B70" i="14" s="1"/>
  <c r="G70" i="14" a="1"/>
  <c r="G70" i="14" s="1"/>
  <c r="C70" i="14" a="1"/>
  <c r="C70" i="14" s="1"/>
  <c r="Z32" i="8"/>
  <c r="C207" i="15"/>
  <c r="E207" i="15" s="1"/>
  <c r="F207" i="15" s="1"/>
  <c r="B208" i="15" s="1"/>
  <c r="E68" i="15" a="1"/>
  <c r="E68" i="15" s="1"/>
  <c r="D68" i="15" a="1"/>
  <c r="D68" i="15" s="1"/>
  <c r="B70" i="15"/>
  <c r="C69" i="15" a="1"/>
  <c r="C69" i="15" s="1"/>
  <c r="G67" i="15"/>
  <c r="I67" i="15" s="1"/>
  <c r="F67" i="15"/>
  <c r="H67" i="15" s="1"/>
  <c r="C138" i="14" l="1"/>
  <c r="E138" i="14" s="1"/>
  <c r="F138" i="14"/>
  <c r="B139" i="14" s="1"/>
  <c r="AA38" i="17"/>
  <c r="Z13" i="17"/>
  <c r="Z36" i="17"/>
  <c r="H137" i="15" a="1"/>
  <c r="H137" i="15" s="1"/>
  <c r="I137" i="15" s="1"/>
  <c r="I103" i="15"/>
  <c r="C137" i="15" a="1"/>
  <c r="C137" i="15" s="1"/>
  <c r="D137" i="15" s="1"/>
  <c r="C171" i="15" a="1"/>
  <c r="C171" i="15" s="1"/>
  <c r="D171" i="15" s="1"/>
  <c r="D103" i="15"/>
  <c r="C136" i="15" a="1"/>
  <c r="C136" i="15" s="1"/>
  <c r="D136" i="15" s="1"/>
  <c r="C170" i="15" a="1"/>
  <c r="C170" i="15" s="1"/>
  <c r="D170" i="15" s="1"/>
  <c r="D102" i="15"/>
  <c r="A174" i="15"/>
  <c r="B174" i="15" s="1" a="1"/>
  <c r="B174" i="15" s="1"/>
  <c r="F140" i="15"/>
  <c r="G140" i="15" s="1" a="1"/>
  <c r="G140" i="15" s="1"/>
  <c r="A140" i="15"/>
  <c r="B140" i="15" s="1" a="1"/>
  <c r="B140" i="15" s="1"/>
  <c r="F106" i="15"/>
  <c r="H105" i="15" a="1"/>
  <c r="H105" i="15" s="1"/>
  <c r="A107" i="15"/>
  <c r="C107" i="15" s="1" a="1"/>
  <c r="C107" i="15" s="1"/>
  <c r="I70" i="14"/>
  <c r="C107" i="14"/>
  <c r="B108" i="14"/>
  <c r="A72" i="14"/>
  <c r="B71" i="14" a="1"/>
  <c r="B71" i="14" s="1"/>
  <c r="G71" i="14" a="1"/>
  <c r="G71" i="14" s="1"/>
  <c r="C71" i="14" a="1"/>
  <c r="C71" i="14" s="1"/>
  <c r="D70" i="14"/>
  <c r="F72" i="14"/>
  <c r="H71" i="14" a="1"/>
  <c r="H71" i="14" s="1"/>
  <c r="C208" i="15"/>
  <c r="E208" i="15" s="1"/>
  <c r="F208" i="15" s="1"/>
  <c r="B209" i="15" s="1"/>
  <c r="E69" i="15" a="1"/>
  <c r="E69" i="15" s="1"/>
  <c r="D69" i="15" a="1"/>
  <c r="D69" i="15" s="1"/>
  <c r="B71" i="15"/>
  <c r="C70" i="15" a="1"/>
  <c r="C70" i="15" s="1"/>
  <c r="G68" i="15"/>
  <c r="I68" i="15" s="1"/>
  <c r="F68" i="15"/>
  <c r="H68" i="15" s="1"/>
  <c r="C139" i="14" l="1"/>
  <c r="E139" i="14" s="1"/>
  <c r="F139" i="14"/>
  <c r="B140" i="14" s="1"/>
  <c r="AB38" i="17"/>
  <c r="AA13" i="17"/>
  <c r="AA36" i="17"/>
  <c r="H138" i="15" a="1"/>
  <c r="H138" i="15" s="1"/>
  <c r="I138" i="15" s="1"/>
  <c r="I104" i="15"/>
  <c r="C138" i="15" a="1"/>
  <c r="C138" i="15" s="1"/>
  <c r="D138" i="15" s="1"/>
  <c r="C172" i="15" a="1"/>
  <c r="C172" i="15" s="1"/>
  <c r="D172" i="15" s="1"/>
  <c r="D104" i="15"/>
  <c r="A175" i="15"/>
  <c r="B175" i="15" s="1" a="1"/>
  <c r="B175" i="15" s="1"/>
  <c r="F141" i="15"/>
  <c r="G141" i="15" s="1" a="1"/>
  <c r="G141" i="15" s="1"/>
  <c r="A141" i="15"/>
  <c r="B141" i="15" s="1" a="1"/>
  <c r="B141" i="15" s="1"/>
  <c r="F107" i="15"/>
  <c r="H106" i="15" a="1"/>
  <c r="H106" i="15" s="1"/>
  <c r="A108" i="15"/>
  <c r="C108" i="15" s="1" a="1"/>
  <c r="C108" i="15" s="1"/>
  <c r="B109" i="14"/>
  <c r="C108" i="14"/>
  <c r="I71" i="14"/>
  <c r="F73" i="14"/>
  <c r="H72" i="14" a="1"/>
  <c r="H72" i="14" s="1"/>
  <c r="D71" i="14"/>
  <c r="A73" i="14"/>
  <c r="C72" i="14" a="1"/>
  <c r="C72" i="14" s="1"/>
  <c r="B72" i="14" a="1"/>
  <c r="B72" i="14" s="1"/>
  <c r="G72" i="14" a="1"/>
  <c r="G72" i="14" s="1"/>
  <c r="C209" i="15"/>
  <c r="E209" i="15" s="1"/>
  <c r="F209" i="15" s="1"/>
  <c r="B210" i="15" s="1"/>
  <c r="E70" i="15" a="1"/>
  <c r="E70" i="15" s="1"/>
  <c r="D70" i="15" a="1"/>
  <c r="D70" i="15" s="1"/>
  <c r="B72" i="15"/>
  <c r="C71" i="15" a="1"/>
  <c r="C71" i="15" s="1"/>
  <c r="G69" i="15"/>
  <c r="I69" i="15" s="1"/>
  <c r="F69" i="15"/>
  <c r="H69" i="15" s="1"/>
  <c r="C140" i="14" l="1"/>
  <c r="E140" i="14" s="1"/>
  <c r="F140" i="14"/>
  <c r="B141" i="14" s="1"/>
  <c r="AC38" i="17"/>
  <c r="AB13" i="17"/>
  <c r="AB36" i="17"/>
  <c r="H139" i="15" a="1"/>
  <c r="H139" i="15" s="1"/>
  <c r="I139" i="15" s="1"/>
  <c r="I105" i="15"/>
  <c r="C139" i="15" a="1"/>
  <c r="C139" i="15" s="1"/>
  <c r="D139" i="15" s="1"/>
  <c r="C173" i="15" a="1"/>
  <c r="C173" i="15" s="1"/>
  <c r="D173" i="15" s="1"/>
  <c r="D105" i="15"/>
  <c r="A176" i="15"/>
  <c r="B176" i="15" s="1" a="1"/>
  <c r="B176" i="15" s="1"/>
  <c r="F142" i="15"/>
  <c r="G142" i="15" s="1" a="1"/>
  <c r="G142" i="15" s="1"/>
  <c r="A142" i="15"/>
  <c r="B142" i="15" s="1" a="1"/>
  <c r="B142" i="15" s="1"/>
  <c r="F108" i="15"/>
  <c r="H107" i="15" a="1"/>
  <c r="H107" i="15" s="1"/>
  <c r="A109" i="15"/>
  <c r="C109" i="15" s="1" a="1"/>
  <c r="C109" i="15" s="1"/>
  <c r="I72" i="14"/>
  <c r="C109" i="14"/>
  <c r="B110" i="14"/>
  <c r="D72" i="14"/>
  <c r="A74" i="14"/>
  <c r="C73" i="14" a="1"/>
  <c r="C73" i="14" s="1"/>
  <c r="B73" i="14" a="1"/>
  <c r="B73" i="14" s="1"/>
  <c r="G73" i="14" a="1"/>
  <c r="G73" i="14" s="1"/>
  <c r="F74" i="14"/>
  <c r="H73" i="14" a="1"/>
  <c r="H73" i="14" s="1"/>
  <c r="C210" i="15"/>
  <c r="E210" i="15" s="1"/>
  <c r="F210" i="15" s="1"/>
  <c r="B211" i="15" s="1"/>
  <c r="E71" i="15" a="1"/>
  <c r="E71" i="15" s="1"/>
  <c r="D71" i="15" a="1"/>
  <c r="D71" i="15" s="1"/>
  <c r="B73" i="15"/>
  <c r="C72" i="15" a="1"/>
  <c r="C72" i="15" s="1"/>
  <c r="G70" i="15"/>
  <c r="I70" i="15" s="1"/>
  <c r="F70" i="15"/>
  <c r="H70" i="15" s="1"/>
  <c r="C141" i="14" l="1"/>
  <c r="E141" i="14" s="1"/>
  <c r="F141" i="14"/>
  <c r="B142" i="14" s="1"/>
  <c r="AD38" i="17"/>
  <c r="AC13" i="17"/>
  <c r="AC36" i="17"/>
  <c r="H140" i="15" a="1"/>
  <c r="H140" i="15" s="1"/>
  <c r="I140" i="15" s="1"/>
  <c r="I106" i="15"/>
  <c r="D73" i="14"/>
  <c r="A177" i="15"/>
  <c r="B177" i="15" s="1" a="1"/>
  <c r="B177" i="15" s="1"/>
  <c r="F143" i="15"/>
  <c r="G143" i="15" s="1" a="1"/>
  <c r="G143" i="15" s="1"/>
  <c r="A143" i="15"/>
  <c r="B143" i="15" s="1" a="1"/>
  <c r="B143" i="15" s="1"/>
  <c r="F109" i="15"/>
  <c r="H108" i="15" a="1"/>
  <c r="H108" i="15" s="1"/>
  <c r="A110" i="15"/>
  <c r="C110" i="15" s="1" a="1"/>
  <c r="C110" i="15" s="1"/>
  <c r="C110" i="14"/>
  <c r="B111" i="14"/>
  <c r="F75" i="14"/>
  <c r="H74" i="14" a="1"/>
  <c r="H74" i="14" s="1"/>
  <c r="I73" i="14"/>
  <c r="A75" i="14"/>
  <c r="G74" i="14" a="1"/>
  <c r="G74" i="14" s="1"/>
  <c r="B74" i="14" a="1"/>
  <c r="B74" i="14" s="1"/>
  <c r="C74" i="14" a="1"/>
  <c r="C74" i="14" s="1"/>
  <c r="C211" i="15"/>
  <c r="E211" i="15" s="1"/>
  <c r="F211" i="15" s="1"/>
  <c r="B212" i="15" s="1"/>
  <c r="E72" i="15" a="1"/>
  <c r="E72" i="15" s="1"/>
  <c r="D72" i="15" a="1"/>
  <c r="D72" i="15" s="1"/>
  <c r="B74" i="15"/>
  <c r="C73" i="15" a="1"/>
  <c r="C73" i="15" s="1"/>
  <c r="G71" i="15"/>
  <c r="I71" i="15" s="1"/>
  <c r="F71" i="15"/>
  <c r="H71" i="15" s="1"/>
  <c r="C142" i="14" l="1"/>
  <c r="E142" i="14" s="1"/>
  <c r="F142" i="14"/>
  <c r="B143" i="14" s="1"/>
  <c r="AE38" i="17"/>
  <c r="AD13" i="17"/>
  <c r="AD36" i="17"/>
  <c r="C141" i="15" a="1"/>
  <c r="C141" i="15" s="1"/>
  <c r="D141" i="15" s="1"/>
  <c r="C175" i="15" a="1"/>
  <c r="C175" i="15" s="1"/>
  <c r="D175" i="15" s="1"/>
  <c r="D107" i="15"/>
  <c r="I74" i="14"/>
  <c r="C140" i="15" a="1"/>
  <c r="C140" i="15" s="1"/>
  <c r="D140" i="15" s="1"/>
  <c r="C174" i="15" a="1"/>
  <c r="C174" i="15" s="1"/>
  <c r="D174" i="15" s="1"/>
  <c r="D106" i="15"/>
  <c r="A178" i="15"/>
  <c r="B178" i="15" s="1" a="1"/>
  <c r="B178" i="15" s="1"/>
  <c r="N20" i="8"/>
  <c r="N25" i="8"/>
  <c r="N24" i="8"/>
  <c r="N23" i="8"/>
  <c r="N21" i="8"/>
  <c r="N27" i="8"/>
  <c r="F144" i="15"/>
  <c r="G144" i="15" s="1" a="1"/>
  <c r="G144" i="15" s="1"/>
  <c r="A144" i="15"/>
  <c r="B144" i="15" s="1" a="1"/>
  <c r="B144" i="15" s="1"/>
  <c r="F110" i="15"/>
  <c r="H109" i="15" a="1"/>
  <c r="H109" i="15" s="1"/>
  <c r="A111" i="15"/>
  <c r="C111" i="15" s="1" a="1"/>
  <c r="C111" i="15" s="1"/>
  <c r="B112" i="14"/>
  <c r="C111" i="14"/>
  <c r="A76" i="14"/>
  <c r="G75" i="14" a="1"/>
  <c r="G75" i="14" s="1"/>
  <c r="C75" i="14" a="1"/>
  <c r="C75" i="14" s="1"/>
  <c r="B75" i="14" a="1"/>
  <c r="B75" i="14" s="1"/>
  <c r="D74" i="14"/>
  <c r="F76" i="14"/>
  <c r="H75" i="14" a="1"/>
  <c r="H75" i="14" s="1"/>
  <c r="C212" i="15"/>
  <c r="E212" i="15" s="1"/>
  <c r="F212" i="15" s="1"/>
  <c r="B213" i="15" s="1"/>
  <c r="E73" i="15" a="1"/>
  <c r="E73" i="15" s="1"/>
  <c r="D73" i="15" a="1"/>
  <c r="D73" i="15" s="1"/>
  <c r="B75" i="15"/>
  <c r="C74" i="15" a="1"/>
  <c r="C74" i="15" s="1"/>
  <c r="G72" i="15"/>
  <c r="I72" i="15" s="1"/>
  <c r="F72" i="15"/>
  <c r="H72" i="15" s="1"/>
  <c r="C143" i="14" l="1"/>
  <c r="E143" i="14" s="1"/>
  <c r="F143" i="14"/>
  <c r="B144" i="14" s="1"/>
  <c r="AE13" i="17"/>
  <c r="AE36" i="17"/>
  <c r="C142" i="15" a="1"/>
  <c r="C142" i="15" s="1"/>
  <c r="D142" i="15" s="1"/>
  <c r="C176" i="15" a="1"/>
  <c r="C176" i="15" s="1"/>
  <c r="D176" i="15" s="1"/>
  <c r="D108" i="15"/>
  <c r="H142" i="15" a="1"/>
  <c r="H142" i="15" s="1"/>
  <c r="I142" i="15" s="1"/>
  <c r="I108" i="15"/>
  <c r="H141" i="15" a="1"/>
  <c r="H141" i="15" s="1"/>
  <c r="I141" i="15" s="1"/>
  <c r="I107" i="15"/>
  <c r="A179" i="15"/>
  <c r="AC10" i="8"/>
  <c r="AC32" i="9"/>
  <c r="F145" i="15"/>
  <c r="A145" i="15"/>
  <c r="B145" i="15" s="1" a="1"/>
  <c r="B145" i="15" s="1"/>
  <c r="F111" i="15"/>
  <c r="H111" i="15" s="1" a="1"/>
  <c r="H111" i="15" s="1"/>
  <c r="H110" i="15" a="1"/>
  <c r="H110" i="15" s="1"/>
  <c r="B113" i="14"/>
  <c r="C113" i="14" s="1"/>
  <c r="C112" i="14"/>
  <c r="B15" i="17" s="1" a="1"/>
  <c r="F77" i="14"/>
  <c r="H76" i="14" a="1"/>
  <c r="H76" i="14" s="1"/>
  <c r="D75" i="14"/>
  <c r="I75" i="14"/>
  <c r="A77" i="14"/>
  <c r="B76" i="14" a="1"/>
  <c r="B76" i="14" s="1"/>
  <c r="G76" i="14" a="1"/>
  <c r="G76" i="14" s="1"/>
  <c r="C76" i="14" a="1"/>
  <c r="C76" i="14" s="1"/>
  <c r="C213" i="15"/>
  <c r="E213" i="15" s="1"/>
  <c r="F213" i="15" s="1"/>
  <c r="B214" i="15" s="1"/>
  <c r="E74" i="15" a="1"/>
  <c r="E74" i="15" s="1"/>
  <c r="D74" i="15" a="1"/>
  <c r="D74" i="15" s="1"/>
  <c r="B76" i="15"/>
  <c r="C75" i="15" a="1"/>
  <c r="C75" i="15" s="1"/>
  <c r="G73" i="15"/>
  <c r="I73" i="15" s="1"/>
  <c r="F73" i="15"/>
  <c r="H73" i="15" s="1"/>
  <c r="B15" i="17" l="1"/>
  <c r="B18" i="17" s="1"/>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C144" i="14"/>
  <c r="E144" i="14" s="1"/>
  <c r="F144" i="14"/>
  <c r="B145" i="14" s="1"/>
  <c r="H143" i="15" a="1"/>
  <c r="H143" i="15" s="1"/>
  <c r="I143" i="15" s="1"/>
  <c r="I109" i="15"/>
  <c r="C143" i="15" a="1"/>
  <c r="C143" i="15" s="1"/>
  <c r="D143" i="15" s="1"/>
  <c r="C177" i="15" a="1"/>
  <c r="C177" i="15" s="1"/>
  <c r="D177" i="15" s="1"/>
  <c r="D109" i="15"/>
  <c r="B179" i="15" a="1"/>
  <c r="B179" i="15" s="1"/>
  <c r="G145" i="15" a="1"/>
  <c r="G145" i="15" s="1"/>
  <c r="AD10" i="8"/>
  <c r="AD32" i="9"/>
  <c r="D10" i="8"/>
  <c r="E10" i="8"/>
  <c r="F10" i="8"/>
  <c r="G10" i="8"/>
  <c r="K10" i="8"/>
  <c r="H10" i="8"/>
  <c r="J10" i="8"/>
  <c r="L10" i="8"/>
  <c r="I10" i="8"/>
  <c r="C10" i="8"/>
  <c r="M10" i="8"/>
  <c r="AB32" i="9"/>
  <c r="AB10" i="8"/>
  <c r="D76" i="14"/>
  <c r="I76" i="14"/>
  <c r="A78" i="14"/>
  <c r="B77" i="14" a="1"/>
  <c r="B77" i="14" s="1"/>
  <c r="C77" i="14" a="1"/>
  <c r="C77" i="14" s="1"/>
  <c r="G77" i="14" a="1"/>
  <c r="G77" i="14" s="1"/>
  <c r="F78" i="14"/>
  <c r="H78" i="14" s="1" a="1"/>
  <c r="H78" i="14" s="1"/>
  <c r="H77" i="14" a="1"/>
  <c r="H77" i="14" s="1"/>
  <c r="C214" i="15"/>
  <c r="E214" i="15" s="1"/>
  <c r="F214" i="15" s="1"/>
  <c r="B215" i="15" s="1"/>
  <c r="E75" i="15" a="1"/>
  <c r="E75" i="15" s="1"/>
  <c r="D75" i="15" a="1"/>
  <c r="D75" i="15" s="1"/>
  <c r="B77" i="15"/>
  <c r="B37" i="17" s="1" a="1"/>
  <c r="B37" i="17" s="1"/>
  <c r="C76" i="15" a="1"/>
  <c r="C76" i="15" s="1"/>
  <c r="G74" i="15"/>
  <c r="I74" i="15" s="1"/>
  <c r="F74" i="15"/>
  <c r="H74" i="15" s="1"/>
  <c r="C77" i="15" l="1" a="1"/>
  <c r="C77" i="15" s="1"/>
  <c r="C145" i="14"/>
  <c r="E145" i="14" s="1"/>
  <c r="F145" i="14"/>
  <c r="B146" i="14" s="1"/>
  <c r="D26" i="10"/>
  <c r="E26" i="10" s="1"/>
  <c r="H144" i="15" a="1"/>
  <c r="H144" i="15" s="1"/>
  <c r="I144" i="15" s="1"/>
  <c r="I110" i="15"/>
  <c r="C144" i="15" a="1"/>
  <c r="C144" i="15" s="1"/>
  <c r="D144" i="15" s="1"/>
  <c r="C178" i="15" a="1"/>
  <c r="C178" i="15" s="1"/>
  <c r="D178" i="15" s="1"/>
  <c r="D110" i="15"/>
  <c r="N18" i="8"/>
  <c r="B10" i="8"/>
  <c r="N9" i="8"/>
  <c r="AC30" i="8"/>
  <c r="I77" i="14"/>
  <c r="D77" i="14"/>
  <c r="B78" i="14" a="1"/>
  <c r="B78" i="14" s="1"/>
  <c r="G78" i="14" a="1"/>
  <c r="G78" i="14" s="1"/>
  <c r="C78" i="14" a="1"/>
  <c r="C78" i="14" s="1"/>
  <c r="C215" i="15"/>
  <c r="E215" i="15" s="1"/>
  <c r="F215" i="15" s="1"/>
  <c r="E76" i="15" a="1"/>
  <c r="E76" i="15" s="1"/>
  <c r="D76" i="15" a="1"/>
  <c r="D76" i="15" s="1"/>
  <c r="E77" i="15" a="1"/>
  <c r="E77" i="15" s="1"/>
  <c r="D77" i="15" a="1"/>
  <c r="D77" i="15" s="1"/>
  <c r="G75" i="15"/>
  <c r="I75" i="15" s="1"/>
  <c r="F75" i="15"/>
  <c r="H75" i="15" s="1"/>
  <c r="C146" i="14" l="1"/>
  <c r="E146" i="14" s="1"/>
  <c r="F146" i="14"/>
  <c r="B147" i="14" s="1"/>
  <c r="B41" i="17"/>
  <c r="C41" i="17"/>
  <c r="D41" i="17"/>
  <c r="E41" i="17"/>
  <c r="F41" i="17"/>
  <c r="G41" i="17"/>
  <c r="H41" i="17"/>
  <c r="I41" i="17"/>
  <c r="J41" i="17"/>
  <c r="K41" i="17"/>
  <c r="L41" i="17"/>
  <c r="M41" i="17"/>
  <c r="N41" i="17"/>
  <c r="O41" i="17"/>
  <c r="P41" i="17"/>
  <c r="Q41" i="17"/>
  <c r="R41" i="17"/>
  <c r="S41" i="17"/>
  <c r="T41" i="17"/>
  <c r="U41" i="17"/>
  <c r="V41" i="17"/>
  <c r="W41" i="17"/>
  <c r="X41" i="17"/>
  <c r="Y41" i="17"/>
  <c r="Z41" i="17"/>
  <c r="AA41" i="17"/>
  <c r="AB41" i="17"/>
  <c r="AC41" i="17"/>
  <c r="AD41" i="17"/>
  <c r="AE41" i="17"/>
  <c r="F26" i="10"/>
  <c r="F28" i="10" s="1"/>
  <c r="E28" i="10"/>
  <c r="D28" i="10"/>
  <c r="B32" i="8"/>
  <c r="I78" i="14"/>
  <c r="C145" i="15" a="1"/>
  <c r="C145" i="15" s="1"/>
  <c r="D145" i="15" s="1"/>
  <c r="B31" i="17" s="1" a="1"/>
  <c r="C179" i="15" a="1"/>
  <c r="C179" i="15" s="1"/>
  <c r="D179" i="15" s="1"/>
  <c r="B33" i="17" s="1" a="1"/>
  <c r="B33" i="17" s="1"/>
  <c r="D111" i="15"/>
  <c r="B25" i="17" s="1" a="1"/>
  <c r="AD30" i="8"/>
  <c r="AB30" i="8"/>
  <c r="N17" i="8"/>
  <c r="H30" i="8"/>
  <c r="N15" i="8"/>
  <c r="B33" i="8"/>
  <c r="C7" i="8" s="1"/>
  <c r="F30" i="8"/>
  <c r="G30" i="8"/>
  <c r="M30" i="8"/>
  <c r="M32" i="8" s="1"/>
  <c r="E30" i="8"/>
  <c r="L30" i="8"/>
  <c r="L32" i="8" s="1"/>
  <c r="D30" i="8"/>
  <c r="K30" i="8"/>
  <c r="K32" i="8" s="1"/>
  <c r="C30" i="8"/>
  <c r="C32" i="8" s="1"/>
  <c r="C33" i="8" s="1"/>
  <c r="D7" i="8" s="1"/>
  <c r="D32" i="8" s="1"/>
  <c r="D33" i="8" s="1"/>
  <c r="E7" i="8" s="1"/>
  <c r="E32" i="8" s="1"/>
  <c r="E33" i="8" s="1"/>
  <c r="F7" i="8" s="1"/>
  <c r="F32" i="8" s="1"/>
  <c r="F33" i="8" s="1"/>
  <c r="G7" i="8" s="1"/>
  <c r="G32" i="8" s="1"/>
  <c r="G33" i="8" s="1"/>
  <c r="H7" i="8" s="1"/>
  <c r="H32" i="8" s="1"/>
  <c r="H33" i="8" s="1"/>
  <c r="I7" i="8" s="1"/>
  <c r="J30" i="8"/>
  <c r="J32" i="8" s="1"/>
  <c r="I30" i="8"/>
  <c r="I32" i="8" s="1"/>
  <c r="I33" i="8" s="1"/>
  <c r="J7" i="8" s="1"/>
  <c r="N16" i="8"/>
  <c r="D78" i="14"/>
  <c r="G77" i="15"/>
  <c r="I77" i="15" s="1"/>
  <c r="F77" i="15"/>
  <c r="H77" i="15" s="1"/>
  <c r="G76" i="15"/>
  <c r="I76" i="15" s="1"/>
  <c r="F76" i="15"/>
  <c r="H76" i="15" s="1"/>
  <c r="B10" i="17" l="1"/>
  <c r="B20" i="17" s="1"/>
  <c r="C10" i="17"/>
  <c r="C20" i="17" s="1"/>
  <c r="D10" i="17"/>
  <c r="D20" i="17" s="1"/>
  <c r="E10" i="17"/>
  <c r="E20" i="17" s="1"/>
  <c r="F10" i="17"/>
  <c r="F20" i="17" s="1"/>
  <c r="G10" i="17"/>
  <c r="G20" i="17" s="1"/>
  <c r="H10" i="17"/>
  <c r="H20" i="17" s="1"/>
  <c r="I10" i="17"/>
  <c r="I20" i="17" s="1"/>
  <c r="J10" i="17"/>
  <c r="J20" i="17" s="1"/>
  <c r="K10" i="17"/>
  <c r="K20" i="17" s="1"/>
  <c r="L10" i="17"/>
  <c r="L20" i="17" s="1"/>
  <c r="M10" i="17"/>
  <c r="M20" i="17" s="1"/>
  <c r="N10" i="17"/>
  <c r="N20" i="17" s="1"/>
  <c r="O10" i="17"/>
  <c r="O20" i="17" s="1"/>
  <c r="P10" i="17"/>
  <c r="P20" i="17" s="1"/>
  <c r="Q10" i="17"/>
  <c r="Q20" i="17" s="1"/>
  <c r="R10" i="17"/>
  <c r="R20" i="17" s="1"/>
  <c r="S10" i="17"/>
  <c r="S20" i="17" s="1"/>
  <c r="T10" i="17"/>
  <c r="T20" i="17" s="1"/>
  <c r="U10" i="17"/>
  <c r="U20" i="17" s="1"/>
  <c r="V10" i="17"/>
  <c r="V20" i="17" s="1"/>
  <c r="W10" i="17"/>
  <c r="W20" i="17" s="1"/>
  <c r="X10" i="17"/>
  <c r="X20" i="17" s="1"/>
  <c r="Y10" i="17"/>
  <c r="Y20" i="17" s="1"/>
  <c r="Z10" i="17"/>
  <c r="Z20" i="17" s="1"/>
  <c r="AA10" i="17"/>
  <c r="AA20" i="17" s="1"/>
  <c r="AB10" i="17"/>
  <c r="AB20" i="17" s="1"/>
  <c r="AC10" i="17"/>
  <c r="AC20" i="17" s="1"/>
  <c r="AD10" i="17"/>
  <c r="AD20" i="17" s="1"/>
  <c r="AE10" i="17"/>
  <c r="AE20" i="17" s="1"/>
  <c r="C147" i="14"/>
  <c r="E147" i="14" s="1"/>
  <c r="F147" i="14"/>
  <c r="B148" i="14" s="1"/>
  <c r="B25" i="17"/>
  <c r="B31" i="17"/>
  <c r="H145" i="15" a="1"/>
  <c r="H145" i="15" s="1"/>
  <c r="I145" i="15" s="1"/>
  <c r="B32" i="17" s="1" a="1"/>
  <c r="B32" i="17" s="1"/>
  <c r="I111" i="15"/>
  <c r="B26" i="17" s="1" a="1"/>
  <c r="B26" i="17" s="1"/>
  <c r="J33" i="8"/>
  <c r="K7" i="8" s="1"/>
  <c r="K33" i="8"/>
  <c r="L7" i="8" s="1"/>
  <c r="L33" i="8"/>
  <c r="M7" i="8" s="1"/>
  <c r="M33" i="8"/>
  <c r="N30" i="8"/>
  <c r="N32" i="8" s="1"/>
  <c r="C148" i="14" l="1"/>
  <c r="E148" i="14" s="1"/>
  <c r="F148" i="14"/>
  <c r="B149" i="14" s="1"/>
  <c r="C48" i="17" a="1"/>
  <c r="V34" i="17"/>
  <c r="T34" i="17"/>
  <c r="O34" i="17"/>
  <c r="AD34" i="17"/>
  <c r="T28" i="17"/>
  <c r="T43" i="17" s="1"/>
  <c r="AC28" i="17"/>
  <c r="Y28" i="17"/>
  <c r="C34" i="17"/>
  <c r="X34" i="17"/>
  <c r="Y34" i="17"/>
  <c r="Q34" i="17"/>
  <c r="U28" i="17"/>
  <c r="E28" i="17"/>
  <c r="P28" i="17"/>
  <c r="B34" i="17"/>
  <c r="AB34" i="17"/>
  <c r="L28" i="17"/>
  <c r="P34" i="17"/>
  <c r="AE28" i="17"/>
  <c r="AE43" i="17" s="1"/>
  <c r="W28" i="17"/>
  <c r="W43" i="17" s="1"/>
  <c r="G34" i="17"/>
  <c r="M28" i="17"/>
  <c r="F34" i="17"/>
  <c r="S34" i="17"/>
  <c r="I28" i="17"/>
  <c r="Q28" i="17"/>
  <c r="AD28" i="17"/>
  <c r="AD43" i="17" s="1"/>
  <c r="R34" i="17"/>
  <c r="E34" i="17"/>
  <c r="I34" i="17"/>
  <c r="C28" i="17"/>
  <c r="Z28" i="17"/>
  <c r="F28" i="17"/>
  <c r="V28" i="17"/>
  <c r="AE34" i="17"/>
  <c r="N28" i="17"/>
  <c r="AA28" i="17"/>
  <c r="X28" i="17"/>
  <c r="L34" i="17"/>
  <c r="J28" i="17"/>
  <c r="S28" i="17"/>
  <c r="W34" i="17"/>
  <c r="K34" i="17"/>
  <c r="B28" i="17"/>
  <c r="B43" i="17" s="1"/>
  <c r="N34" i="17"/>
  <c r="J34" i="17"/>
  <c r="O28" i="17"/>
  <c r="O43" i="17" s="1"/>
  <c r="H28" i="17"/>
  <c r="AB28" i="17"/>
  <c r="D34" i="17"/>
  <c r="U34" i="17"/>
  <c r="AA34" i="17"/>
  <c r="AC34" i="17"/>
  <c r="M34" i="17"/>
  <c r="H34" i="17"/>
  <c r="Z34" i="17"/>
  <c r="K28" i="17"/>
  <c r="D28" i="17"/>
  <c r="R28" i="17"/>
  <c r="G28" i="17"/>
  <c r="X43" i="17"/>
  <c r="I43" i="17"/>
  <c r="V43" i="17"/>
  <c r="K43" i="17"/>
  <c r="R43" i="17"/>
  <c r="O7" i="8"/>
  <c r="AA7" i="8" s="1"/>
  <c r="N33" i="8"/>
  <c r="B8" i="10" s="1"/>
  <c r="H43" i="17" l="1"/>
  <c r="J43" i="17"/>
  <c r="AA43" i="17"/>
  <c r="Z43" i="17"/>
  <c r="S43" i="17"/>
  <c r="F43" i="17"/>
  <c r="G43" i="17"/>
  <c r="AB43" i="17"/>
  <c r="P43" i="17"/>
  <c r="E43" i="17"/>
  <c r="U43" i="17"/>
  <c r="Q43" i="17"/>
  <c r="C43" i="17"/>
  <c r="Y43" i="17"/>
  <c r="AC43" i="17"/>
  <c r="C48" i="17"/>
  <c r="D48" i="17" s="1"/>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C149" i="14"/>
  <c r="E149" i="14" s="1"/>
  <c r="F149" i="14"/>
  <c r="B150" i="14" s="1"/>
  <c r="B13" i="10"/>
  <c r="B30" i="10" s="1"/>
  <c r="N43" i="17"/>
  <c r="M43" i="17"/>
  <c r="D43" i="17"/>
  <c r="L43" i="17"/>
  <c r="O32" i="8"/>
  <c r="AB32" i="8"/>
  <c r="AD32" i="8"/>
  <c r="AC32" i="8"/>
  <c r="E48" i="17" l="1" a="1"/>
  <c r="F71" i="17" s="1"/>
  <c r="F73" i="17"/>
  <c r="F56" i="17"/>
  <c r="F55" i="17"/>
  <c r="F77" i="17"/>
  <c r="F50" i="17"/>
  <c r="F62" i="17"/>
  <c r="F64" i="17"/>
  <c r="F72" i="17"/>
  <c r="F70" i="17"/>
  <c r="C150" i="14"/>
  <c r="E150" i="14" s="1"/>
  <c r="F150" i="14"/>
  <c r="D78" i="17"/>
  <c r="F57" i="17"/>
  <c r="F66" i="17"/>
  <c r="F53" i="17"/>
  <c r="F65" i="17"/>
  <c r="F59" i="17"/>
  <c r="F74" i="17"/>
  <c r="F76" i="17"/>
  <c r="F69" i="17"/>
  <c r="F63" i="17"/>
  <c r="F67" i="17"/>
  <c r="O33" i="8"/>
  <c r="P7" i="8" s="1"/>
  <c r="P33" i="8" s="1"/>
  <c r="Q7" i="8" s="1"/>
  <c r="Q32" i="8"/>
  <c r="E48" i="17" l="1"/>
  <c r="F61" i="17"/>
  <c r="F60" i="17"/>
  <c r="F52" i="17"/>
  <c r="F75" i="17"/>
  <c r="F54" i="17"/>
  <c r="F68" i="17"/>
  <c r="F49" i="17"/>
  <c r="F78" i="17" s="1"/>
  <c r="F58" i="17"/>
  <c r="F51" i="17"/>
  <c r="F48" i="17"/>
  <c r="F19" i="16"/>
  <c r="F18" i="16"/>
  <c r="Q33" i="8"/>
  <c r="R7" i="8" s="1"/>
  <c r="R32" i="8" s="1"/>
  <c r="R33" i="8" s="1"/>
  <c r="S7" i="8" s="1"/>
  <c r="S33" i="8" s="1"/>
  <c r="T7" i="8" s="1"/>
  <c r="T33" i="8" s="1"/>
  <c r="U7" i="8" s="1"/>
  <c r="U33" i="8" s="1"/>
  <c r="V7" i="8" s="1"/>
  <c r="V32" i="8" s="1"/>
  <c r="V33" i="8" s="1"/>
  <c r="W7" i="8" s="1"/>
  <c r="W32" i="8" s="1"/>
  <c r="W33" i="8" s="1"/>
  <c r="X7" i="8" s="1"/>
  <c r="X32" i="8" s="1"/>
  <c r="X33" i="8" s="1"/>
  <c r="Y7" i="8" s="1"/>
  <c r="Y32" i="8" s="1"/>
  <c r="Y33" i="8" s="1"/>
  <c r="Z7" i="8" s="1"/>
  <c r="Z33" i="8" s="1"/>
  <c r="F20" i="16" l="1"/>
  <c r="F17" i="16"/>
  <c r="AA33" i="8"/>
  <c r="AB7" i="8"/>
  <c r="AB33" i="8" s="1"/>
  <c r="C8" i="10" l="1"/>
  <c r="C13" i="10" s="1"/>
  <c r="AC7" i="8"/>
  <c r="AC33" i="8" s="1"/>
  <c r="D8" i="10"/>
  <c r="D13" i="10" s="1"/>
  <c r="D30" i="10" s="1"/>
  <c r="C30" i="10" l="1"/>
  <c r="AD7" i="8"/>
  <c r="AD33" i="8" s="1"/>
  <c r="F8" i="10" s="1"/>
  <c r="F13" i="10" s="1"/>
  <c r="F30" i="10" s="1"/>
  <c r="E8" i="10"/>
  <c r="E13" i="10" s="1"/>
  <c r="E30"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<sst xmlns="http://schemas.openxmlformats.org/spreadsheetml/2006/main" count="508" uniqueCount="324">
  <si>
    <t>DATA MODEL: QATAR ENERGY CASE</t>
  </si>
  <si>
    <t xml:space="preserve">Business Proposition: </t>
  </si>
  <si>
    <t xml:space="preserve">Qatar Energy aims to deliver a cost-effective, financially advantageous method for supplying natural gas to Bahrain over a 30-year period. Using our financial model, we can compare the trade-off between the high up-front capital cost of the pipeline ($520 million) and the operational flexibility of the Q-Max LNG Tanker ($250 million). The goal is to maximize shareholder wealth by selecting the delivery method (i.e., Pipeline or Tanker) that offers the highest capital efficiency and other return metrics, ensuring that these returns exceed the 4% cost of capital provided by the National Bank of Qatar. </t>
  </si>
  <si>
    <t xml:space="preserve">Executive Summary: </t>
  </si>
  <si>
    <t xml:space="preserve">Based on our 30-year competitive financial analysis, the Q-Max Tanker (LNG) is the recommended delivery method. When comparing the 30-year NPV, it outperforms the pipeline across our primary financial metrics, offering higher wealth and faster capital recovery for investors. </t>
  </si>
  <si>
    <t xml:space="preserve">Strategeic Financial Findings (Pipeline vs. Tanker) </t>
  </si>
  <si>
    <t>Pipeline (NG)</t>
  </si>
  <si>
    <t>Tanker (LNG)</t>
  </si>
  <si>
    <t>NPV</t>
  </si>
  <si>
    <t>IRR</t>
  </si>
  <si>
    <t xml:space="preserve">Payback Period </t>
  </si>
  <si>
    <t>Profitability Index (PI)</t>
  </si>
  <si>
    <t>Key Insights &amp; Risks</t>
  </si>
  <si>
    <r>
      <rPr>
        <b/>
        <sz val="11"/>
        <color rgb="FF000000"/>
        <rFont val="Aptos Narrow"/>
        <family val="2"/>
      </rPr>
      <t xml:space="preserve">Operational Resilience: </t>
    </r>
    <r>
      <rPr>
        <sz val="11"/>
        <color rgb="FF000000"/>
        <rFont val="Aptos Narrow"/>
        <family val="2"/>
      </rPr>
      <t xml:space="preserve">In Year 3, the port damage was 90% covered by insurance, therefore, an additional $500,000 to repair the port had to be paid by Qatar Energy. Despite the port damage, net income increased from Year 2 of ~80 million to Year 3 of ~81 million. Additionally, with carbon costs doubling in Year 5 to over $74 million, the Tanker remains highly profitable, with Net Income in Year 5 of ~47 million. Confirming these situations indicates our model can withstand economic shifts without threatening the project's success. </t>
    </r>
  </si>
  <si>
    <r>
      <rPr>
        <b/>
        <sz val="11"/>
        <color rgb="FF000000"/>
        <rFont val="Aptos Narrow"/>
        <family val="2"/>
      </rPr>
      <t xml:space="preserve">Capital Efficiency (PI &amp; IRR):  </t>
    </r>
    <r>
      <rPr>
        <sz val="11"/>
        <color rgb="FF000000"/>
        <rFont val="Aptos Narrow"/>
        <family val="2"/>
      </rPr>
      <t xml:space="preserve">The tanker requires an initial capital of 250 million, which is 52% less than the Pipeline's initial investment of $520 millipn. The tanker method provides a PI of 7.92 (compared to the pipeline PI of 3.26), indicating it is twice as efficient an investment and would provide a 7.92x return per dollar. </t>
    </r>
  </si>
  <si>
    <r>
      <rPr>
        <b/>
        <sz val="11"/>
        <color rgb="FF000000"/>
        <rFont val="Aptos Narrow"/>
        <family val="2"/>
      </rPr>
      <t>Wealth (NPV):</t>
    </r>
    <r>
      <rPr>
        <sz val="11"/>
        <color rgb="FF000000"/>
        <rFont val="Aptos Narrow"/>
        <family val="2"/>
      </rPr>
      <t xml:space="preserve"> The tanker (NPV of 1,980,071,025) creates $286,201,680 more in total NPV (of 1,693,869,345) than the pipeline, due to its lower initial investment and the favourable price-to-volume ratio of LNG. </t>
    </r>
  </si>
  <si>
    <r>
      <rPr>
        <b/>
        <sz val="11"/>
        <color rgb="FF000000"/>
        <rFont val="Aptos Narrow"/>
        <family val="2"/>
      </rPr>
      <t xml:space="preserve">Cash Recovery (Payback): </t>
    </r>
    <r>
      <rPr>
        <sz val="11"/>
        <color rgb="FF000000"/>
        <rFont val="Aptos Narrow"/>
        <family val="2"/>
      </rPr>
      <t xml:space="preserve">The tanker reaches a break-even point in 2.52 years of operations, whereas the pipeline takes 5.72 years, representing significantly lower/higher capital-lockup risk. </t>
    </r>
  </si>
  <si>
    <t xml:space="preserve">Recomendation: </t>
  </si>
  <si>
    <t xml:space="preserve">It is recommended that Qatar Energy proceed with the Q-Max Tanker delivery method. It offers higher NPV and PI, indicating that Qatar Energy maximizes the value of its sovereign natural gas assets while maintaining superior liquidity and capital flexibility. </t>
  </si>
  <si>
    <t>QATAR ENERGY</t>
  </si>
  <si>
    <t xml:space="preserve">INPUTS - PIPELINE &amp; TANKER </t>
  </si>
  <si>
    <t>Color Key</t>
  </si>
  <si>
    <t>Black = Scaffolding, calculated values (do not overwrite)</t>
  </si>
  <si>
    <t>Red = Editable data</t>
  </si>
  <si>
    <t>Black on blue = Owner's decision</t>
  </si>
  <si>
    <t>Grey shade - no input</t>
  </si>
  <si>
    <t>Green = Calculated value, do not overwrite</t>
  </si>
  <si>
    <t>GENERAL AND SHARED INPUTS</t>
  </si>
  <si>
    <t>TIME AND DATE</t>
  </si>
  <si>
    <t>ECONOMICS</t>
  </si>
  <si>
    <t>Increment</t>
  </si>
  <si>
    <t>Inflations (compounded):</t>
  </si>
  <si>
    <t>Months in Year</t>
  </si>
  <si>
    <t xml:space="preserve">  Annual Inflation</t>
  </si>
  <si>
    <t>Days in Year</t>
  </si>
  <si>
    <t xml:space="preserve">  Carbon Offset Inflation</t>
  </si>
  <si>
    <t>Set Up Year</t>
  </si>
  <si>
    <t xml:space="preserve">  Carbon Offset Inflation (Special - Year 5)</t>
  </si>
  <si>
    <t>Demand Increase Rate</t>
  </si>
  <si>
    <t>First Year of Ops</t>
  </si>
  <si>
    <t>Nil</t>
  </si>
  <si>
    <t>Total Years of Ops</t>
  </si>
  <si>
    <t>Billing Day</t>
  </si>
  <si>
    <t>FINANCE</t>
  </si>
  <si>
    <t>Dormant Months Y1</t>
  </si>
  <si>
    <t>Loan Payment Term (year)</t>
  </si>
  <si>
    <t>Discount Rate (compounded annually)</t>
  </si>
  <si>
    <t>Days in Month</t>
  </si>
  <si>
    <t>Minimum Cash Balance</t>
  </si>
  <si>
    <t>January</t>
  </si>
  <si>
    <t>February</t>
  </si>
  <si>
    <t>CAPITAL ASSETS</t>
  </si>
  <si>
    <t>March</t>
  </si>
  <si>
    <t>Useful Life (years)</t>
  </si>
  <si>
    <t>April</t>
  </si>
  <si>
    <t>May</t>
  </si>
  <si>
    <t>June</t>
  </si>
  <si>
    <t>July</t>
  </si>
  <si>
    <t>August</t>
  </si>
  <si>
    <t>September</t>
  </si>
  <si>
    <t>October</t>
  </si>
  <si>
    <t>November</t>
  </si>
  <si>
    <t>December</t>
  </si>
  <si>
    <t>PIPELINE INPUTS</t>
  </si>
  <si>
    <t>PRICING, DEMAND AND SUPPLIES</t>
  </si>
  <si>
    <t>Pipeline Building Cost</t>
  </si>
  <si>
    <t>Base NG Demand (annual, starting Y2)</t>
  </si>
  <si>
    <t>Contract Management Fees</t>
  </si>
  <si>
    <t>NG Purchase price, per cubic meter</t>
  </si>
  <si>
    <t>Total Pipeline Cost</t>
  </si>
  <si>
    <t>NG Selling price, per cubic meter</t>
  </si>
  <si>
    <t>Pipeline Salvage Value (net of decommissioning costs, Y31)</t>
  </si>
  <si>
    <t>INFLATABLE COSTS</t>
  </si>
  <si>
    <t>Pipeline Insurance (annual, paid advance Jan 1 yearly)</t>
  </si>
  <si>
    <t>Operations Management (annual)</t>
  </si>
  <si>
    <t>General Maintenance and Engineering (annual)</t>
  </si>
  <si>
    <t>Fuel for Compression and Pumping (annual, paid monthly)</t>
  </si>
  <si>
    <t>Carbon Offset (per pipeline, annual, paid monthly)</t>
  </si>
  <si>
    <t>TANKER INPUTS</t>
  </si>
  <si>
    <t>Tanker Building Cost</t>
  </si>
  <si>
    <t>NG-to-LNG Conversion Factor</t>
  </si>
  <si>
    <t>Tanker Salvage Value</t>
  </si>
  <si>
    <t>Base LNG Demand (annual, starting Y2)</t>
  </si>
  <si>
    <t>LNG Purchase price, per cubic meter</t>
  </si>
  <si>
    <t>LNG Selling price, per cubic meter</t>
  </si>
  <si>
    <t>Tanker Insurance</t>
  </si>
  <si>
    <t>LNG Tanker Capacity per Trip</t>
  </si>
  <si>
    <t>Special Events:</t>
  </si>
  <si>
    <t>Stores, spares, and lubricants (annual)</t>
  </si>
  <si>
    <t xml:space="preserve">  Year 3 Port Repair</t>
  </si>
  <si>
    <t>Port Fees (per round trip)</t>
  </si>
  <si>
    <t xml:space="preserve">  Insurance Coverage %</t>
  </si>
  <si>
    <t>Heavy Fuel Oil (per ton)</t>
  </si>
  <si>
    <t>Tons Required per Round Trip</t>
  </si>
  <si>
    <t>Operating Expenses (per round trip)</t>
  </si>
  <si>
    <t>Carbon Offset (per year, per ship)</t>
  </si>
  <si>
    <t>EMPLOYMENT COSTS</t>
  </si>
  <si>
    <t>Total Crew Costs (annual)</t>
  </si>
  <si>
    <t>Social Insurance Costs (remitted in the following month):</t>
  </si>
  <si>
    <t xml:space="preserve">  Employer Social Insurance</t>
  </si>
  <si>
    <t xml:space="preserve">  Employee Deduction</t>
  </si>
  <si>
    <t>PIPELINE SCHEDULE</t>
  </si>
  <si>
    <t>Pipeline</t>
  </si>
  <si>
    <t>Capital Assets</t>
  </si>
  <si>
    <t>Useful Life</t>
  </si>
  <si>
    <t>Salvage value</t>
  </si>
  <si>
    <t>Annual Depreciation</t>
  </si>
  <si>
    <t xml:space="preserve">DEPRECIATION </t>
  </si>
  <si>
    <t>Year</t>
  </si>
  <si>
    <t>Begininng Value ($)</t>
  </si>
  <si>
    <t>Depreciation Amount ($)</t>
  </si>
  <si>
    <t>Remaining Amount ($)</t>
  </si>
  <si>
    <t xml:space="preserve">NATURAL GAS (NG) REVENUE </t>
  </si>
  <si>
    <t>NATURAL GAS (NG) PURCHASE</t>
  </si>
  <si>
    <t>NG Sales Voulme ($)</t>
  </si>
  <si>
    <t>NG Selling Price ($/M3)</t>
  </si>
  <si>
    <t>NG Total Revenue ($)</t>
  </si>
  <si>
    <t>NG Purchase Voulme ($)</t>
  </si>
  <si>
    <t>NG Cost Price ($/M3)</t>
  </si>
  <si>
    <t>NG Total Cost ($)</t>
  </si>
  <si>
    <t>FUEL COMPRESSION AND PUMPING EXPENSE</t>
  </si>
  <si>
    <t>Expense Per Year ($)</t>
  </si>
  <si>
    <t>Expense Per Month ($)</t>
  </si>
  <si>
    <t>BANK LOAN</t>
  </si>
  <si>
    <t>Annual Payment</t>
  </si>
  <si>
    <t>Monthly interest expense - Y1</t>
  </si>
  <si>
    <t>Principal</t>
  </si>
  <si>
    <t>Interest</t>
  </si>
  <si>
    <t>Payment</t>
  </si>
  <si>
    <t>Amortization</t>
  </si>
  <si>
    <t>Ending balance</t>
  </si>
  <si>
    <t xml:space="preserve">Month </t>
  </si>
  <si>
    <t>Outstanding balance</t>
  </si>
  <si>
    <t>Interest expense</t>
  </si>
  <si>
    <t>Total</t>
  </si>
  <si>
    <t>TANKER SCHEDULE</t>
  </si>
  <si>
    <t>Tanker</t>
  </si>
  <si>
    <t>DEPRECIATION SCHEDULE</t>
  </si>
  <si>
    <t xml:space="preserve">Begininng Value </t>
  </si>
  <si>
    <t>Depreciation Amount</t>
  </si>
  <si>
    <t xml:space="preserve">Remaining Amount </t>
  </si>
  <si>
    <t>EMPLOYMENT COST SCHEDULE</t>
  </si>
  <si>
    <t>Total Salary Cost</t>
  </si>
  <si>
    <t>Base Salary</t>
  </si>
  <si>
    <t>Employer Social Insurance</t>
  </si>
  <si>
    <t>Employee Deduction</t>
  </si>
  <si>
    <t>Payment to Employees</t>
  </si>
  <si>
    <t>Remittance to Government</t>
  </si>
  <si>
    <t>Monthly Payment to Employees</t>
  </si>
  <si>
    <t>Monthly Remittance to Government</t>
  </si>
  <si>
    <t>LNG REVENUE</t>
  </si>
  <si>
    <t>LNG PURCHASE PRICE</t>
  </si>
  <si>
    <t>LNG Demand ($/M3)</t>
  </si>
  <si>
    <t>Selling Price ($)</t>
  </si>
  <si>
    <t>Annual LNG Revenue ($)</t>
  </si>
  <si>
    <t>Purchas Price ($)</t>
  </si>
  <si>
    <t>Annual LNG COGS ($)</t>
  </si>
  <si>
    <t>PORT FEES</t>
  </si>
  <si>
    <t>HFO COST</t>
  </si>
  <si>
    <t>Port Fees Cost Per Trip</t>
  </si>
  <si>
    <t>Trips Required</t>
  </si>
  <si>
    <t>Annual Port Fees ($)</t>
  </si>
  <si>
    <t>HFO Cost Per Trip ($)</t>
  </si>
  <si>
    <t>Annual HFO Costs ($)</t>
  </si>
  <si>
    <t>SHIPPING OPERATING EXPENSE</t>
  </si>
  <si>
    <t>Port Fees Cost Per Trip ($)</t>
  </si>
  <si>
    <t>FINANCE SCHEDULE</t>
  </si>
  <si>
    <t>Monthly Interest Expense - Y1</t>
  </si>
  <si>
    <t>Month</t>
  </si>
  <si>
    <t>Monthly Loan Drawndown - Y1</t>
  </si>
  <si>
    <t>Total Loan</t>
  </si>
  <si>
    <t>Monthly Drawndown Amount</t>
  </si>
  <si>
    <t>CASH BUDGET</t>
  </si>
  <si>
    <t>FOR THE FINANCIAL YEARS ENDED DECEMBER 31</t>
  </si>
  <si>
    <t>Year 1</t>
  </si>
  <si>
    <t>Year 1 Total</t>
  </si>
  <si>
    <t>Year 2</t>
  </si>
  <si>
    <t>Year 2 Total</t>
  </si>
  <si>
    <t>Year 3</t>
  </si>
  <si>
    <t>Year 4</t>
  </si>
  <si>
    <t>Year 5</t>
  </si>
  <si>
    <t>Opening Cash</t>
  </si>
  <si>
    <t xml:space="preserve">    Bank Loan Drawn-out</t>
  </si>
  <si>
    <t xml:space="preserve">    Revenue</t>
  </si>
  <si>
    <t>Total Cash Inflows:</t>
  </si>
  <si>
    <t>Initial Capital Expenditures:</t>
  </si>
  <si>
    <t xml:space="preserve">    Tanker Building Cost</t>
  </si>
  <si>
    <t>Trip Costs:</t>
  </si>
  <si>
    <t xml:space="preserve">    Port fees</t>
  </si>
  <si>
    <t xml:space="preserve">    Heavy Fuel Oil</t>
  </si>
  <si>
    <t xml:space="preserve">    Shipping Operating Expense </t>
  </si>
  <si>
    <t xml:space="preserve">    LNG Purchase</t>
  </si>
  <si>
    <t>Operating Costs:</t>
  </si>
  <si>
    <t xml:space="preserve">     Insurance </t>
  </si>
  <si>
    <t xml:space="preserve">     Payroll - Payment to Employees</t>
  </si>
  <si>
    <t xml:space="preserve">     Payroll - Remittance to Government</t>
  </si>
  <si>
    <t xml:space="preserve">     Maintenance and Engineering</t>
  </si>
  <si>
    <t xml:space="preserve">     Stores, spares, lubricants </t>
  </si>
  <si>
    <t xml:space="preserve">     Carbon Offsets</t>
  </si>
  <si>
    <t>Special Event Costs:</t>
  </si>
  <si>
    <t xml:space="preserve">     Port Damage (Insurance Payout 10%)</t>
  </si>
  <si>
    <t>Finance:</t>
  </si>
  <si>
    <t xml:space="preserve">    Loan Payment</t>
  </si>
  <si>
    <t>Total Cash Outflows:</t>
  </si>
  <si>
    <t>Change in Cash</t>
  </si>
  <si>
    <t>Ending Cash Balance</t>
  </si>
  <si>
    <t>STATEMENT OF INCOME</t>
  </si>
  <si>
    <t>Y1 Total</t>
  </si>
  <si>
    <t>Y2 Total</t>
  </si>
  <si>
    <t>INCOME</t>
  </si>
  <si>
    <t>Revenues</t>
  </si>
  <si>
    <t>EXPENSES</t>
  </si>
  <si>
    <t xml:space="preserve">    LNG purchases</t>
  </si>
  <si>
    <t xml:space="preserve">    Heavy fuel oil</t>
  </si>
  <si>
    <t xml:space="preserve">    Shipping operating costs</t>
  </si>
  <si>
    <t xml:space="preserve">    Insurance</t>
  </si>
  <si>
    <t xml:space="preserve">    Payroll - Payments to Employees</t>
  </si>
  <si>
    <t xml:space="preserve">   Payroll - Remittance to Government</t>
  </si>
  <si>
    <t xml:space="preserve">    Maintenance and Engineering</t>
  </si>
  <si>
    <t xml:space="preserve">    Stores, spares, lubricants</t>
  </si>
  <si>
    <t xml:space="preserve">    Carbon offsets</t>
  </si>
  <si>
    <t>Special Events Costs:</t>
  </si>
  <si>
    <t xml:space="preserve">    Port damage</t>
  </si>
  <si>
    <t xml:space="preserve">    Insruance payout</t>
  </si>
  <si>
    <t>TOTAL EXPENSES</t>
  </si>
  <si>
    <t>EBITDA</t>
  </si>
  <si>
    <t>Depreciation</t>
  </si>
  <si>
    <t>NET INCOME</t>
  </si>
  <si>
    <t>STATEMENT OF FINANCIAL POSITION</t>
  </si>
  <si>
    <t>ASSETS</t>
  </si>
  <si>
    <t>Cash</t>
  </si>
  <si>
    <t>Accounts Receivable</t>
  </si>
  <si>
    <t>Fixed Assets</t>
  </si>
  <si>
    <r>
      <rPr>
        <i/>
        <sz val="11"/>
        <color theme="1"/>
        <rFont val="Aptos Narrow"/>
        <family val="2"/>
        <scheme val="minor"/>
      </rPr>
      <t xml:space="preserve">less </t>
    </r>
    <r>
      <rPr>
        <sz val="11"/>
        <color theme="1"/>
        <rFont val="Aptos Narrow"/>
        <family val="2"/>
        <scheme val="minor"/>
      </rPr>
      <t>Accumulated Depreciation</t>
    </r>
  </si>
  <si>
    <t>TOTAL ASSETS</t>
  </si>
  <si>
    <t>LIABILITES</t>
  </si>
  <si>
    <t>Employer Remittance Payable</t>
  </si>
  <si>
    <t>LNG Payable</t>
  </si>
  <si>
    <t>Port Fees Payable</t>
  </si>
  <si>
    <t>Heavy Fuel Oil Payable</t>
  </si>
  <si>
    <t>Shipping Operating Expense Payable</t>
  </si>
  <si>
    <t>Bank Loan O/S</t>
  </si>
  <si>
    <t>SHAREHOLDERS EQUITY</t>
  </si>
  <si>
    <t xml:space="preserve">Retained Earnings </t>
  </si>
  <si>
    <t>TOTAL LIABILITES AND SHAREHOLDERS EQUITY</t>
  </si>
  <si>
    <t>Check Sum</t>
  </si>
  <si>
    <t>30-YR NPV COMPARISON (PIPELINE Vs. TANKER)</t>
  </si>
  <si>
    <t>CASH FLOW - PIPELINE</t>
  </si>
  <si>
    <t>Y2</t>
  </si>
  <si>
    <t xml:space="preserve">Y3 </t>
  </si>
  <si>
    <t>Y4</t>
  </si>
  <si>
    <t>Y5</t>
  </si>
  <si>
    <t>Y6</t>
  </si>
  <si>
    <t>Y7</t>
  </si>
  <si>
    <t>Y8</t>
  </si>
  <si>
    <t>Y9</t>
  </si>
  <si>
    <t>Y10</t>
  </si>
  <si>
    <t>Y11</t>
  </si>
  <si>
    <t>Y12</t>
  </si>
  <si>
    <t>Y13</t>
  </si>
  <si>
    <t>Y14</t>
  </si>
  <si>
    <t>Y15</t>
  </si>
  <si>
    <t>Y16</t>
  </si>
  <si>
    <t>Y17</t>
  </si>
  <si>
    <t>Y18</t>
  </si>
  <si>
    <t>Y19</t>
  </si>
  <si>
    <t>Y20</t>
  </si>
  <si>
    <t>Y21</t>
  </si>
  <si>
    <t>Y22</t>
  </si>
  <si>
    <t>Y23</t>
  </si>
  <si>
    <t>Y24</t>
  </si>
  <si>
    <t>Y25</t>
  </si>
  <si>
    <t>Y26</t>
  </si>
  <si>
    <t>Y27</t>
  </si>
  <si>
    <t>Y28</t>
  </si>
  <si>
    <t>Y29</t>
  </si>
  <si>
    <t>Y30</t>
  </si>
  <si>
    <t>Y31</t>
  </si>
  <si>
    <t xml:space="preserve">Revenue: </t>
  </si>
  <si>
    <t xml:space="preserve">     Sales</t>
  </si>
  <si>
    <t xml:space="preserve">     Less: COGS</t>
  </si>
  <si>
    <t xml:space="preserve">     Salvage Value </t>
  </si>
  <si>
    <t xml:space="preserve">Expenses: </t>
  </si>
  <si>
    <t xml:space="preserve">     Operatings Management </t>
  </si>
  <si>
    <t xml:space="preserve">     Fuel Compression and Pumping Expense</t>
  </si>
  <si>
    <t xml:space="preserve">     Maintenance and Engineering </t>
  </si>
  <si>
    <t xml:space="preserve">Net Cash Flows </t>
  </si>
  <si>
    <t>CASH FLOW - TANKER</t>
  </si>
  <si>
    <t xml:space="preserve">Y2 </t>
  </si>
  <si>
    <t>Direct Costs:</t>
  </si>
  <si>
    <t xml:space="preserve">     Wages/Payroll Expense </t>
  </si>
  <si>
    <t>NPV SCHEDULE (30 YEARS)</t>
  </si>
  <si>
    <t>Date</t>
  </si>
  <si>
    <t xml:space="preserve">Number of Years </t>
  </si>
  <si>
    <t>Pipeline Net Cash Flows</t>
  </si>
  <si>
    <t>Present Value</t>
  </si>
  <si>
    <t>Tanker Net Cash Flows</t>
  </si>
  <si>
    <t>Year 6</t>
  </si>
  <si>
    <t>Year 7</t>
  </si>
  <si>
    <t>Year 8</t>
  </si>
  <si>
    <t>Year 9</t>
  </si>
  <si>
    <t>Year 10</t>
  </si>
  <si>
    <t>Year 11</t>
  </si>
  <si>
    <t>Year 12</t>
  </si>
  <si>
    <t>Year 13</t>
  </si>
  <si>
    <t>Year 14</t>
  </si>
  <si>
    <t>Year 15</t>
  </si>
  <si>
    <t>Year 16</t>
  </si>
  <si>
    <t>Year 17</t>
  </si>
  <si>
    <t>Year 18</t>
  </si>
  <si>
    <t>Year 19</t>
  </si>
  <si>
    <t>Year 20</t>
  </si>
  <si>
    <t>Year 21</t>
  </si>
  <si>
    <t>Year 22</t>
  </si>
  <si>
    <t>Year 23</t>
  </si>
  <si>
    <t>Year 24</t>
  </si>
  <si>
    <t>Year 25</t>
  </si>
  <si>
    <t>Year 26</t>
  </si>
  <si>
    <t>Year 27</t>
  </si>
  <si>
    <t>Year 28</t>
  </si>
  <si>
    <t>Year 29</t>
  </si>
  <si>
    <t>Year 30</t>
  </si>
  <si>
    <t>Year 31</t>
  </si>
  <si>
    <t xml:space="preserve">Cash Position: By the end of Year 5, the Tanker generates an ending cash balance of $368,806,012, which exceeds the required $10 million minimum 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</si>
</sst>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quot;$&quot;#,##0.00_);[Red]\(&quot;$&quot;#,##0.00\)"/>
    <numFmt numFmtId="165" formatCode="_(&quot;$&quot;* #,##0.00_);_(&quot;$&quot;* \(#,##0.00\);_(&quot;$&quot;* &quot;-&quot;??_);_(@_)"/>
    <numFmt numFmtId="166" formatCode="0.00_);[Red]\(0.00\)"/>
    <numFmt numFmtId="167" formatCode="_-* #,##0_-;\-* #,##0_-;_-* &quot;-&quot;??_-;_-@_-"/>
    <numFmt numFmtId="168" formatCode="0.000_);[Red]\(0.000\)"/>
    <numFmt numFmtId="169" formatCode="0_);[Red]\(0\)"/>
    <numFmt numFmtId="170" formatCode="&quot;$&quot;#,##0.00"/>
    <numFmt numFmtId="171" formatCode="_([$$-409]* #,##0.00_);_([$$-409]* \(#,##0.00\);_([$$-409]* &quot;-&quot;??_);_(@_)"/>
    <numFmt numFmtId="172" formatCode="_([$$-409]* #,##0_);_([$$-409]* \(#,##0\);_([$$-409]* &quot;-&quot;??_);_(@_)"/>
    <numFmt numFmtId="173" formatCode="0.0%"/>
    <numFmt numFmtId="174" formatCode="_(* #,##0_);_(* \(#,##0\);_(* &quot;-&quot;??_);_(@_)"/>
    <numFmt numFmtId="175" formatCode="_-* #,##0.000_-;\-* #,##0.000_-;_-* &quot;-&quot;??_-;_-@_-"/>
    <numFmt numFmtId="176" formatCode="_(&quot;$&quot;* #,##0_);_(&quot;$&quot;* \(#,##0\);_(&quot;$&quot;* &quot;-&quot;??_);_(@_)"/>
    <numFmt numFmtId="177" formatCode="&quot;$&quot;#,##0"/>
  </numFmts>
  <fonts count="21"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Calibri"/>
      <family val="2"/>
    </font>
    <font>
      <b/>
      <sz val="11"/>
      <color rgb="FF000000"/>
      <name val="Calibri"/>
      <family val="2"/>
    </font>
    <font>
      <b/>
      <sz val="11"/>
      <color rgb="FF000000"/>
      <name val="Arial"/>
      <family val="2"/>
      <charset val="1"/>
    </font>
    <font>
      <sz val="11"/>
      <color rgb="FF000000"/>
      <name val="Arial"/>
      <family val="2"/>
      <charset val="1"/>
    </font>
    <font>
      <b/>
      <sz val="11"/>
      <color rgb="FF000000"/>
      <name val="Arial"/>
      <family val="2"/>
    </font>
    <font>
      <b/>
      <i/>
      <sz val="11"/>
      <color theme="1"/>
      <name val="Aptos Narrow"/>
      <family val="2"/>
      <scheme val="minor"/>
    </font>
    <font>
      <b/>
      <sz val="11"/>
      <color rgb="FF000000"/>
      <name val="Aptos Narrow"/>
      <family val="2"/>
      <scheme val="minor"/>
    </font>
    <font>
      <sz val="11"/>
      <color rgb="FFFF0000"/>
      <name val="Aptos Narrow"/>
      <family val="2"/>
      <scheme val="minor"/>
    </font>
    <font>
      <sz val="11"/>
      <color theme="9"/>
      <name val="Aptos Narrow"/>
      <family val="2"/>
      <scheme val="minor"/>
    </font>
    <font>
      <u/>
      <sz val="11"/>
      <color theme="1"/>
      <name val="Aptos Narrow"/>
      <family val="2"/>
      <scheme val="minor"/>
    </font>
    <font>
      <b/>
      <sz val="11"/>
      <color rgb="FF000000"/>
      <name val="Aptos Narrow"/>
      <family val="2"/>
      <scheme val="minor"/>
    </font>
    <font>
      <b/>
      <sz val="14"/>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font>
    <font>
      <sz val="11"/>
      <color rgb="FF000000"/>
      <name val="Aptos Narrow"/>
      <family val="2"/>
    </font>
    <font>
      <sz val="11"/>
      <color rgb="FF000000"/>
      <name val="Aptos Narrow"/>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249977111117893"/>
        <bgColor indexed="64"/>
      </patternFill>
    </fill>
  </fills>
  <borders count="40">
    <border>
      <left/>
      <right/>
      <top/>
      <bottom/>
      <diagonal/>
    </border>
    <border>
      <left/>
      <right/>
      <top/>
      <bottom style="thin">
        <color indexed="64"/>
      </bottom>
      <diagonal/>
    </border>
    <border>
      <left/>
      <right/>
      <top style="thin">
        <color indexed="64"/>
      </top>
      <bottom style="double">
        <color indexed="64"/>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double">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indexed="64"/>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style="thin">
        <color rgb="FF000000"/>
      </left>
      <right style="thin">
        <color rgb="FF000000"/>
      </right>
      <top style="thin">
        <color rgb="FF000000"/>
      </top>
      <bottom style="double">
        <color rgb="FF000000"/>
      </bottom>
      <diagonal/>
    </border>
    <border>
      <left/>
      <right style="thin">
        <color rgb="FF000000"/>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2">
    <xf numFmtId="0" fontId="0" fillId="0" borderId="0" xfId="0"/>
    <xf numFmtId="166" fontId="0" fillId="0" borderId="0" xfId="0" applyNumberFormat="1"/>
    <xf numFmtId="166" fontId="2" fillId="0" borderId="0" xfId="0" applyNumberFormat="1" applyFont="1"/>
    <xf numFmtId="10" fontId="0" fillId="0" borderId="0" xfId="2" applyNumberFormat="1" applyFont="1"/>
    <xf numFmtId="167" fontId="0" fillId="0" borderId="0" xfId="1" applyNumberFormat="1" applyFont="1"/>
    <xf numFmtId="0" fontId="4" fillId="0" borderId="0" xfId="0" applyFont="1"/>
    <xf numFmtId="0" fontId="5" fillId="0" borderId="0" xfId="0" applyFont="1"/>
    <xf numFmtId="170" fontId="0" fillId="0" borderId="0" xfId="0" applyNumberFormat="1"/>
    <xf numFmtId="0" fontId="0" fillId="0" borderId="3" xfId="0" applyBorder="1"/>
    <xf numFmtId="0" fontId="2" fillId="0" borderId="0" xfId="0" applyFont="1"/>
    <xf numFmtId="172" fontId="0" fillId="0" borderId="0" xfId="0" applyNumberFormat="1"/>
    <xf numFmtId="172" fontId="0" fillId="0" borderId="5" xfId="0" applyNumberFormat="1" applyBorder="1"/>
    <xf numFmtId="170" fontId="0" fillId="0" borderId="4" xfId="0" applyNumberFormat="1" applyBorder="1"/>
    <xf numFmtId="0" fontId="0" fillId="0" borderId="0" xfId="0" applyAlignment="1">
      <alignment horizontal="center"/>
    </xf>
    <xf numFmtId="0" fontId="0" fillId="0" borderId="17" xfId="0" applyBorder="1"/>
    <xf numFmtId="1" fontId="0" fillId="3" borderId="0" xfId="0" applyNumberFormat="1" applyFill="1"/>
    <xf numFmtId="0" fontId="0" fillId="3" borderId="0" xfId="0" applyFill="1"/>
    <xf numFmtId="1" fontId="0" fillId="3" borderId="0" xfId="1" applyNumberFormat="1" applyFont="1" applyFill="1"/>
    <xf numFmtId="169" fontId="0" fillId="3" borderId="0" xfId="0" applyNumberFormat="1" applyFill="1"/>
    <xf numFmtId="167" fontId="0" fillId="3" borderId="0" xfId="1" applyNumberFormat="1" applyFont="1" applyFill="1"/>
    <xf numFmtId="0" fontId="4" fillId="3" borderId="0" xfId="0" applyFont="1" applyFill="1"/>
    <xf numFmtId="0" fontId="10" fillId="0" borderId="18" xfId="0" applyFont="1" applyBorder="1"/>
    <xf numFmtId="0" fontId="0" fillId="0" borderId="19" xfId="0" applyBorder="1"/>
    <xf numFmtId="0" fontId="0" fillId="0" borderId="20" xfId="0" applyBorder="1"/>
    <xf numFmtId="0" fontId="0" fillId="0" borderId="21" xfId="0" applyBorder="1"/>
    <xf numFmtId="0" fontId="11" fillId="0" borderId="20" xfId="0" applyFont="1" applyBorder="1"/>
    <xf numFmtId="0" fontId="0" fillId="3" borderId="20" xfId="0" applyFill="1" applyBorder="1"/>
    <xf numFmtId="0" fontId="0" fillId="4" borderId="20" xfId="0" applyFill="1" applyBorder="1"/>
    <xf numFmtId="0" fontId="0" fillId="0" borderId="23" xfId="0" applyBorder="1"/>
    <xf numFmtId="166" fontId="12" fillId="0" borderId="22" xfId="0" applyNumberFormat="1" applyFont="1" applyBorder="1"/>
    <xf numFmtId="174" fontId="0" fillId="0" borderId="0" xfId="0" applyNumberFormat="1"/>
    <xf numFmtId="0" fontId="8" fillId="0" borderId="0" xfId="0" applyFont="1" applyAlignment="1">
      <alignment readingOrder="1"/>
    </xf>
    <xf numFmtId="0" fontId="6" fillId="0" borderId="0" xfId="0" applyFont="1" applyAlignment="1">
      <alignment readingOrder="1"/>
    </xf>
    <xf numFmtId="0" fontId="7" fillId="0" borderId="0" xfId="0" applyFont="1" applyAlignment="1">
      <alignment readingOrder="1"/>
    </xf>
    <xf numFmtId="1" fontId="0" fillId="0" borderId="0" xfId="1" applyNumberFormat="1" applyFont="1" applyFill="1"/>
    <xf numFmtId="10" fontId="12" fillId="0" borderId="0" xfId="0" applyNumberFormat="1" applyFont="1"/>
    <xf numFmtId="174" fontId="11" fillId="0" borderId="0" xfId="0" applyNumberFormat="1" applyFont="1"/>
    <xf numFmtId="174" fontId="11" fillId="0" borderId="0" xfId="1" applyNumberFormat="1" applyFont="1"/>
    <xf numFmtId="0" fontId="2" fillId="0" borderId="17" xfId="0" applyFont="1" applyBorder="1"/>
    <xf numFmtId="1" fontId="11" fillId="0" borderId="0" xfId="0" applyNumberFormat="1" applyFont="1"/>
    <xf numFmtId="173" fontId="11" fillId="0" borderId="0" xfId="2" applyNumberFormat="1" applyFont="1"/>
    <xf numFmtId="2" fontId="11" fillId="0" borderId="0" xfId="0" applyNumberFormat="1" applyFont="1"/>
    <xf numFmtId="10" fontId="11" fillId="0" borderId="0" xfId="2" applyNumberFormat="1" applyFont="1"/>
    <xf numFmtId="166" fontId="11" fillId="0" borderId="0" xfId="0" applyNumberFormat="1" applyFont="1"/>
    <xf numFmtId="1" fontId="11" fillId="0" borderId="0" xfId="1" applyNumberFormat="1" applyFont="1"/>
    <xf numFmtId="167" fontId="11" fillId="0" borderId="0" xfId="1" applyNumberFormat="1" applyFont="1"/>
    <xf numFmtId="167" fontId="11" fillId="0" borderId="1" xfId="1" applyNumberFormat="1" applyFont="1" applyBorder="1"/>
    <xf numFmtId="168" fontId="11" fillId="0" borderId="0" xfId="0" applyNumberFormat="1" applyFont="1"/>
    <xf numFmtId="167" fontId="11" fillId="0" borderId="2" xfId="1" applyNumberFormat="1" applyFont="1" applyBorder="1"/>
    <xf numFmtId="9" fontId="11" fillId="0" borderId="0" xfId="0" applyNumberFormat="1" applyFont="1"/>
    <xf numFmtId="9" fontId="11" fillId="0" borderId="0" xfId="2" applyFont="1"/>
    <xf numFmtId="0" fontId="0" fillId="0" borderId="14" xfId="0" applyBorder="1" applyAlignment="1">
      <alignment horizontal="center"/>
    </xf>
    <xf numFmtId="0" fontId="0" fillId="0" borderId="8" xfId="0" applyBorder="1" applyAlignment="1">
      <alignment horizontal="center"/>
    </xf>
    <xf numFmtId="0" fontId="2" fillId="0" borderId="7" xfId="0" applyFont="1" applyBorder="1" applyAlignment="1">
      <alignment horizontal="center"/>
    </xf>
    <xf numFmtId="0" fontId="2" fillId="0" borderId="24" xfId="0" applyFont="1" applyBorder="1" applyAlignment="1">
      <alignment horizontal="center"/>
    </xf>
    <xf numFmtId="0" fontId="0" fillId="5" borderId="11" xfId="0" applyFill="1" applyBorder="1"/>
    <xf numFmtId="0" fontId="0" fillId="5" borderId="12" xfId="0" applyFill="1" applyBorder="1"/>
    <xf numFmtId="0" fontId="0" fillId="5" borderId="13" xfId="0" applyFill="1" applyBorder="1"/>
    <xf numFmtId="170" fontId="0" fillId="0" borderId="10" xfId="0" applyNumberFormat="1" applyBorder="1"/>
    <xf numFmtId="170" fontId="0" fillId="0" borderId="5" xfId="0" applyNumberFormat="1" applyBorder="1"/>
    <xf numFmtId="170" fontId="0" fillId="0" borderId="9" xfId="0" applyNumberFormat="1" applyBorder="1"/>
    <xf numFmtId="170" fontId="0" fillId="0" borderId="6" xfId="0" applyNumberFormat="1" applyBorder="1"/>
    <xf numFmtId="0" fontId="0" fillId="0" borderId="11"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4" xfId="0" applyBorder="1"/>
    <xf numFmtId="0" fontId="0" fillId="0" borderId="11" xfId="0" applyBorder="1"/>
    <xf numFmtId="0" fontId="0" fillId="0" borderId="12" xfId="0" applyBorder="1"/>
    <xf numFmtId="0" fontId="0" fillId="5" borderId="9" xfId="0" applyFill="1" applyBorder="1"/>
    <xf numFmtId="0" fontId="0" fillId="0" borderId="9" xfId="0" applyBorder="1"/>
    <xf numFmtId="0" fontId="2" fillId="0" borderId="10" xfId="0" applyFont="1" applyBorder="1"/>
    <xf numFmtId="0" fontId="2" fillId="0" borderId="9" xfId="0" applyFont="1" applyBorder="1"/>
    <xf numFmtId="43" fontId="0" fillId="0" borderId="12" xfId="1" applyFont="1" applyBorder="1"/>
    <xf numFmtId="43" fontId="0" fillId="0" borderId="4" xfId="1" applyFont="1" applyBorder="1"/>
    <xf numFmtId="0" fontId="2" fillId="0" borderId="0" xfId="0" applyFont="1" applyAlignment="1">
      <alignment horizontal="left"/>
    </xf>
    <xf numFmtId="43" fontId="0" fillId="0" borderId="0" xfId="1" applyFont="1" applyBorder="1"/>
    <xf numFmtId="0" fontId="2" fillId="0" borderId="25" xfId="0" applyFont="1" applyBorder="1"/>
    <xf numFmtId="0" fontId="14" fillId="0" borderId="3" xfId="0" applyFont="1" applyBorder="1"/>
    <xf numFmtId="166" fontId="3" fillId="0" borderId="0" xfId="0" applyNumberFormat="1" applyFont="1"/>
    <xf numFmtId="169" fontId="11" fillId="0" borderId="0" xfId="0" applyNumberFormat="1" applyFont="1"/>
    <xf numFmtId="174" fontId="2" fillId="0" borderId="0" xfId="0" applyNumberFormat="1" applyFont="1"/>
    <xf numFmtId="174" fontId="0" fillId="0" borderId="4" xfId="0" applyNumberFormat="1" applyBorder="1"/>
    <xf numFmtId="174" fontId="0" fillId="0" borderId="3" xfId="0" applyNumberFormat="1" applyBorder="1"/>
    <xf numFmtId="174" fontId="0" fillId="0" borderId="12" xfId="0" applyNumberFormat="1" applyBorder="1"/>
    <xf numFmtId="174" fontId="0" fillId="0" borderId="25" xfId="0" applyNumberFormat="1" applyBorder="1"/>
    <xf numFmtId="174" fontId="0" fillId="0" borderId="5" xfId="0" applyNumberFormat="1" applyBorder="1"/>
    <xf numFmtId="174" fontId="0" fillId="0" borderId="6" xfId="0" applyNumberFormat="1" applyBorder="1"/>
    <xf numFmtId="174" fontId="0" fillId="0" borderId="13" xfId="0" applyNumberFormat="1" applyBorder="1"/>
    <xf numFmtId="174" fontId="0" fillId="0" borderId="10" xfId="0" applyNumberFormat="1" applyBorder="1"/>
    <xf numFmtId="174" fontId="0" fillId="0" borderId="16" xfId="0" applyNumberFormat="1" applyBorder="1"/>
    <xf numFmtId="174" fontId="0" fillId="0" borderId="26" xfId="0" applyNumberFormat="1" applyBorder="1"/>
    <xf numFmtId="167" fontId="0" fillId="0" borderId="0" xfId="1" applyNumberFormat="1" applyFont="1" applyBorder="1"/>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167" fontId="0" fillId="0" borderId="30" xfId="1" applyNumberFormat="1" applyFont="1" applyBorder="1"/>
    <xf numFmtId="0" fontId="0" fillId="0" borderId="31" xfId="0" applyBorder="1" applyAlignment="1">
      <alignment horizontal="center"/>
    </xf>
    <xf numFmtId="0" fontId="16" fillId="0" borderId="32" xfId="0" applyFont="1" applyBorder="1" applyAlignment="1">
      <alignment horizontal="center"/>
    </xf>
    <xf numFmtId="0" fontId="16" fillId="0" borderId="33" xfId="0" applyFont="1" applyBorder="1" applyAlignment="1">
      <alignment horizontal="center"/>
    </xf>
    <xf numFmtId="175" fontId="0" fillId="0" borderId="0" xfId="1" applyNumberFormat="1" applyFont="1" applyBorder="1"/>
    <xf numFmtId="174" fontId="0" fillId="0" borderId="14" xfId="0" applyNumberFormat="1" applyBorder="1"/>
    <xf numFmtId="174" fontId="2" fillId="0" borderId="16" xfId="0" applyNumberFormat="1" applyFont="1" applyBorder="1"/>
    <xf numFmtId="174" fontId="2" fillId="0" borderId="3" xfId="0" applyNumberFormat="1" applyFont="1" applyBorder="1"/>
    <xf numFmtId="174" fontId="2" fillId="0" borderId="7" xfId="0" applyNumberFormat="1" applyFont="1" applyBorder="1"/>
    <xf numFmtId="174" fontId="2" fillId="0" borderId="15" xfId="0" applyNumberFormat="1" applyFont="1" applyBorder="1"/>
    <xf numFmtId="174" fontId="13" fillId="0" borderId="0" xfId="0" applyNumberFormat="1" applyFont="1"/>
    <xf numFmtId="174" fontId="2" fillId="0" borderId="4" xfId="0" applyNumberFormat="1" applyFont="1" applyBorder="1"/>
    <xf numFmtId="174" fontId="2" fillId="0" borderId="8" xfId="0" applyNumberFormat="1" applyFont="1" applyBorder="1"/>
    <xf numFmtId="174" fontId="2" fillId="0" borderId="6" xfId="0" applyNumberFormat="1" applyFont="1" applyBorder="1"/>
    <xf numFmtId="167" fontId="0" fillId="0" borderId="28" xfId="1" applyNumberFormat="1" applyFont="1" applyBorder="1"/>
    <xf numFmtId="175" fontId="0" fillId="0" borderId="1" xfId="1" applyNumberFormat="1" applyFont="1" applyBorder="1"/>
    <xf numFmtId="167" fontId="0" fillId="0" borderId="29" xfId="1" applyNumberFormat="1" applyFont="1" applyBorder="1"/>
    <xf numFmtId="174" fontId="0" fillId="6" borderId="0" xfId="0" applyNumberFormat="1" applyFill="1"/>
    <xf numFmtId="174" fontId="0" fillId="6" borderId="14" xfId="0" applyNumberFormat="1" applyFill="1" applyBorder="1"/>
    <xf numFmtId="174" fontId="0" fillId="6" borderId="5" xfId="0" applyNumberFormat="1" applyFill="1" applyBorder="1"/>
    <xf numFmtId="0" fontId="16" fillId="0" borderId="0" xfId="0" applyFont="1"/>
    <xf numFmtId="0" fontId="0" fillId="0" borderId="34"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43" fontId="0" fillId="5" borderId="12" xfId="1" applyFont="1" applyFill="1" applyBorder="1"/>
    <xf numFmtId="175" fontId="0" fillId="0" borderId="0" xfId="1" applyNumberFormat="1" applyFont="1"/>
    <xf numFmtId="168" fontId="0" fillId="0" borderId="0" xfId="0" applyNumberFormat="1"/>
    <xf numFmtId="43" fontId="0" fillId="5" borderId="27" xfId="1" applyFont="1" applyFill="1" applyBorder="1"/>
    <xf numFmtId="0" fontId="16" fillId="0" borderId="0" xfId="0" applyFont="1" applyAlignment="1">
      <alignment horizontal="left"/>
    </xf>
    <xf numFmtId="167" fontId="0" fillId="0" borderId="10" xfId="1" applyNumberFormat="1" applyFont="1" applyBorder="1"/>
    <xf numFmtId="167" fontId="0" fillId="0" borderId="5" xfId="1" applyNumberFormat="1" applyFont="1" applyBorder="1"/>
    <xf numFmtId="167" fontId="0" fillId="0" borderId="9" xfId="1" applyNumberFormat="1" applyFont="1" applyBorder="1"/>
    <xf numFmtId="167" fontId="0" fillId="0" borderId="4" xfId="1" applyNumberFormat="1" applyFont="1" applyBorder="1"/>
    <xf numFmtId="167" fontId="0" fillId="0" borderId="6" xfId="1" applyNumberFormat="1" applyFont="1" applyBorder="1"/>
    <xf numFmtId="0" fontId="2" fillId="0" borderId="0" xfId="0" applyFont="1" applyAlignment="1">
      <alignment horizontal="center"/>
    </xf>
    <xf numFmtId="0" fontId="0" fillId="5" borderId="0" xfId="0" applyFill="1"/>
    <xf numFmtId="172" fontId="0" fillId="5" borderId="5" xfId="0" applyNumberFormat="1" applyFill="1" applyBorder="1"/>
    <xf numFmtId="167" fontId="0" fillId="0" borderId="11" xfId="1" applyNumberFormat="1" applyFont="1" applyBorder="1"/>
    <xf numFmtId="0" fontId="0" fillId="5" borderId="4" xfId="0" applyFill="1" applyBorder="1"/>
    <xf numFmtId="172" fontId="0" fillId="5" borderId="6" xfId="0" applyNumberFormat="1" applyFill="1" applyBorder="1"/>
    <xf numFmtId="172" fontId="2" fillId="0" borderId="0" xfId="0" applyNumberFormat="1" applyFont="1"/>
    <xf numFmtId="0" fontId="0" fillId="0" borderId="16" xfId="0" applyBorder="1"/>
    <xf numFmtId="165" fontId="0" fillId="0" borderId="15" xfId="0" applyNumberFormat="1" applyBorder="1"/>
    <xf numFmtId="164" fontId="0" fillId="0" borderId="15" xfId="0" applyNumberFormat="1" applyBorder="1"/>
    <xf numFmtId="171" fontId="2" fillId="0" borderId="7" xfId="0" applyNumberFormat="1" applyFont="1" applyBorder="1" applyAlignment="1">
      <alignment horizontal="center"/>
    </xf>
    <xf numFmtId="0" fontId="2" fillId="0" borderId="16" xfId="0" applyFont="1" applyBorder="1"/>
    <xf numFmtId="0" fontId="16" fillId="0" borderId="7" xfId="0" applyFont="1" applyBorder="1" applyAlignment="1">
      <alignment horizontal="center"/>
    </xf>
    <xf numFmtId="171" fontId="2" fillId="0" borderId="7" xfId="0" applyNumberFormat="1" applyFont="1" applyBorder="1" applyAlignment="1">
      <alignment horizontal="center" wrapText="1"/>
    </xf>
    <xf numFmtId="167" fontId="0" fillId="0" borderId="2" xfId="1" applyNumberFormat="1" applyFont="1" applyBorder="1"/>
    <xf numFmtId="172" fontId="2" fillId="0" borderId="7" xfId="0" applyNumberFormat="1" applyFont="1" applyBorder="1" applyAlignment="1">
      <alignment horizontal="center"/>
    </xf>
    <xf numFmtId="0" fontId="2" fillId="0" borderId="11" xfId="0" applyFont="1" applyBorder="1"/>
    <xf numFmtId="170" fontId="0" fillId="0" borderId="24" xfId="0" applyNumberFormat="1" applyBorder="1"/>
    <xf numFmtId="0" fontId="0" fillId="0" borderId="14" xfId="0" applyBorder="1" applyAlignment="1">
      <alignment horizontal="right"/>
    </xf>
    <xf numFmtId="170" fontId="0" fillId="0" borderId="8" xfId="0" applyNumberFormat="1" applyBorder="1"/>
    <xf numFmtId="170" fontId="0" fillId="0" borderId="7" xfId="0" applyNumberFormat="1" applyBorder="1"/>
    <xf numFmtId="170" fontId="0" fillId="0" borderId="14" xfId="0" applyNumberFormat="1" applyBorder="1"/>
    <xf numFmtId="174" fontId="0" fillId="0" borderId="11" xfId="0" applyNumberFormat="1" applyBorder="1"/>
    <xf numFmtId="174" fontId="0" fillId="0" borderId="9" xfId="0" applyNumberFormat="1" applyBorder="1"/>
    <xf numFmtId="174" fontId="2" fillId="0" borderId="12" xfId="0" applyNumberFormat="1" applyFont="1" applyBorder="1"/>
    <xf numFmtId="174" fontId="2" fillId="0" borderId="13" xfId="0" applyNumberFormat="1" applyFont="1" applyBorder="1"/>
    <xf numFmtId="176" fontId="0" fillId="0" borderId="10" xfId="0" applyNumberFormat="1" applyBorder="1"/>
    <xf numFmtId="176" fontId="0" fillId="0" borderId="0" xfId="0" applyNumberFormat="1"/>
    <xf numFmtId="176" fontId="0" fillId="0" borderId="5" xfId="0" applyNumberFormat="1" applyBorder="1"/>
    <xf numFmtId="176" fontId="0" fillId="0" borderId="9" xfId="0" applyNumberFormat="1" applyBorder="1"/>
    <xf numFmtId="176" fontId="0" fillId="0" borderId="4" xfId="0" applyNumberFormat="1" applyBorder="1"/>
    <xf numFmtId="176" fontId="0" fillId="0" borderId="6" xfId="0" applyNumberFormat="1" applyBorder="1"/>
    <xf numFmtId="176" fontId="0" fillId="0" borderId="3" xfId="0" applyNumberFormat="1" applyBorder="1"/>
    <xf numFmtId="176" fontId="0" fillId="0" borderId="15" xfId="0" applyNumberFormat="1" applyBorder="1"/>
    <xf numFmtId="176" fontId="0" fillId="0" borderId="12" xfId="0" applyNumberFormat="1" applyBorder="1"/>
    <xf numFmtId="176" fontId="0" fillId="0" borderId="13" xfId="0" applyNumberFormat="1" applyBorder="1"/>
    <xf numFmtId="167" fontId="0" fillId="0" borderId="0" xfId="0" applyNumberFormat="1"/>
    <xf numFmtId="165" fontId="0" fillId="5" borderId="11" xfId="0" applyNumberFormat="1" applyFill="1" applyBorder="1"/>
    <xf numFmtId="165" fontId="0" fillId="5" borderId="12" xfId="0" applyNumberFormat="1" applyFill="1" applyBorder="1"/>
    <xf numFmtId="165" fontId="0" fillId="5" borderId="13" xfId="0" applyNumberFormat="1" applyFill="1" applyBorder="1"/>
    <xf numFmtId="176" fontId="2" fillId="0" borderId="0" xfId="0" applyNumberFormat="1" applyFont="1"/>
    <xf numFmtId="176" fontId="2" fillId="0" borderId="11" xfId="0" applyNumberFormat="1" applyFont="1" applyBorder="1" applyAlignment="1">
      <alignment horizontal="center"/>
    </xf>
    <xf numFmtId="176" fontId="2" fillId="0" borderId="12" xfId="0" applyNumberFormat="1" applyFont="1" applyBorder="1" applyAlignment="1">
      <alignment horizontal="center"/>
    </xf>
    <xf numFmtId="176" fontId="2" fillId="0" borderId="13" xfId="0" applyNumberFormat="1" applyFont="1" applyBorder="1" applyAlignment="1">
      <alignment horizontal="center"/>
    </xf>
    <xf numFmtId="176" fontId="0" fillId="0" borderId="16" xfId="0" applyNumberFormat="1" applyBorder="1"/>
    <xf numFmtId="176" fontId="0" fillId="0" borderId="11" xfId="0" applyNumberFormat="1" applyBorder="1"/>
    <xf numFmtId="176" fontId="0" fillId="0" borderId="7" xfId="0" applyNumberFormat="1" applyBorder="1"/>
    <xf numFmtId="167" fontId="0" fillId="0" borderId="37" xfId="1" applyNumberFormat="1" applyFont="1" applyBorder="1"/>
    <xf numFmtId="172" fontId="0" fillId="5" borderId="0" xfId="0" applyNumberFormat="1" applyFill="1" applyAlignment="1">
      <alignment horizontal="center" wrapText="1"/>
    </xf>
    <xf numFmtId="172" fontId="0" fillId="5" borderId="5" xfId="0" applyNumberFormat="1" applyFill="1" applyBorder="1" applyAlignment="1">
      <alignment horizontal="center" wrapText="1"/>
    </xf>
    <xf numFmtId="167" fontId="0" fillId="0" borderId="11" xfId="1" applyNumberFormat="1" applyFont="1" applyFill="1" applyBorder="1"/>
    <xf numFmtId="167" fontId="0" fillId="0" borderId="0" xfId="1" applyNumberFormat="1" applyFont="1" applyFill="1" applyBorder="1"/>
    <xf numFmtId="176" fontId="2" fillId="0" borderId="10" xfId="0" applyNumberFormat="1" applyFont="1" applyBorder="1"/>
    <xf numFmtId="176" fontId="9" fillId="0" borderId="10" xfId="0" applyNumberFormat="1" applyFont="1" applyBorder="1"/>
    <xf numFmtId="176" fontId="14" fillId="0" borderId="10" xfId="0" applyNumberFormat="1" applyFont="1" applyBorder="1"/>
    <xf numFmtId="176" fontId="2" fillId="0" borderId="16" xfId="0" applyNumberFormat="1" applyFont="1" applyBorder="1"/>
    <xf numFmtId="0" fontId="2" fillId="0" borderId="3" xfId="0" applyFont="1" applyBorder="1"/>
    <xf numFmtId="0" fontId="2" fillId="0" borderId="15" xfId="0" applyFont="1" applyBorder="1"/>
    <xf numFmtId="0" fontId="2" fillId="0" borderId="12" xfId="0" applyFont="1" applyBorder="1" applyAlignment="1">
      <alignment horizontal="center"/>
    </xf>
    <xf numFmtId="0" fontId="3" fillId="0" borderId="10" xfId="0" applyFont="1" applyBorder="1" applyAlignment="1">
      <alignment horizontal="center" vertical="center"/>
    </xf>
    <xf numFmtId="0" fontId="0" fillId="0" borderId="24" xfId="0" applyBorder="1" applyAlignment="1">
      <alignment horizontal="center" vertical="center"/>
    </xf>
    <xf numFmtId="0" fontId="0" fillId="0" borderId="14" xfId="0" applyBorder="1" applyAlignment="1">
      <alignment horizontal="center" vertical="center"/>
    </xf>
    <xf numFmtId="0" fontId="3" fillId="0" borderId="9" xfId="0" applyFont="1" applyBorder="1" applyAlignment="1">
      <alignment horizontal="center" vertical="center"/>
    </xf>
    <xf numFmtId="0" fontId="0" fillId="0" borderId="8" xfId="0" applyBorder="1" applyAlignment="1">
      <alignment horizontal="center" vertical="center"/>
    </xf>
    <xf numFmtId="174" fontId="2" fillId="0" borderId="6" xfId="0" applyNumberFormat="1" applyFont="1" applyBorder="1" applyAlignment="1">
      <alignment horizontal="center"/>
    </xf>
    <xf numFmtId="174" fontId="15" fillId="0" borderId="24" xfId="0" applyNumberFormat="1" applyFont="1" applyBorder="1" applyAlignment="1">
      <alignment horizontal="center"/>
    </xf>
    <xf numFmtId="174" fontId="15" fillId="0" borderId="11" xfId="0" applyNumberFormat="1" applyFont="1" applyBorder="1" applyAlignment="1">
      <alignment horizontal="center" vertical="center"/>
    </xf>
    <xf numFmtId="174" fontId="15" fillId="0" borderId="11" xfId="0" applyNumberFormat="1" applyFont="1" applyBorder="1" applyAlignment="1">
      <alignment horizontal="center"/>
    </xf>
    <xf numFmtId="0" fontId="13" fillId="0" borderId="0" xfId="0" applyFont="1"/>
    <xf numFmtId="174" fontId="0" fillId="0" borderId="8" xfId="0" applyNumberFormat="1" applyBorder="1"/>
    <xf numFmtId="174" fontId="0" fillId="0" borderId="7" xfId="0" applyNumberFormat="1" applyBorder="1"/>
    <xf numFmtId="174" fontId="0" fillId="0" borderId="38" xfId="0" applyNumberFormat="1" applyBorder="1"/>
    <xf numFmtId="174" fontId="15" fillId="0" borderId="13" xfId="0" applyNumberFormat="1" applyFont="1" applyBorder="1" applyAlignment="1">
      <alignment horizontal="center"/>
    </xf>
    <xf numFmtId="0" fontId="17" fillId="0" borderId="0" xfId="0" applyFont="1" applyAlignment="1">
      <alignment wrapText="1"/>
    </xf>
    <xf numFmtId="0" fontId="9" fillId="0" borderId="0" xfId="0" applyFont="1"/>
    <xf numFmtId="174" fontId="0" fillId="0" borderId="0" xfId="0" quotePrefix="1" applyNumberFormat="1"/>
    <xf numFmtId="0" fontId="20" fillId="0" borderId="0" xfId="0" applyFont="1" applyAlignment="1">
      <alignment wrapText="1"/>
    </xf>
    <xf numFmtId="43" fontId="0" fillId="0" borderId="0" xfId="1" applyFont="1"/>
    <xf numFmtId="167" fontId="12" fillId="0" borderId="0" xfId="1" applyNumberFormat="1" applyFont="1" applyBorder="1"/>
    <xf numFmtId="10" fontId="0" fillId="0" borderId="0" xfId="0" applyNumberFormat="1"/>
    <xf numFmtId="37" fontId="12" fillId="0" borderId="0" xfId="1" applyNumberFormat="1" applyFont="1" applyBorder="1"/>
    <xf numFmtId="172" fontId="0" fillId="0" borderId="10" xfId="0" applyNumberFormat="1" applyBorder="1"/>
    <xf numFmtId="172" fontId="0" fillId="0" borderId="9" xfId="0" applyNumberFormat="1" applyBorder="1"/>
    <xf numFmtId="172" fontId="2" fillId="0" borderId="7" xfId="0" applyNumberFormat="1" applyFont="1" applyBorder="1" applyAlignment="1">
      <alignment horizontal="right"/>
    </xf>
    <xf numFmtId="172" fontId="0" fillId="0" borderId="7" xfId="0" applyNumberFormat="1" applyBorder="1"/>
    <xf numFmtId="2" fontId="0" fillId="0" borderId="0" xfId="0" applyNumberFormat="1"/>
    <xf numFmtId="170" fontId="0" fillId="0" borderId="37" xfId="0" applyNumberFormat="1" applyBorder="1"/>
    <xf numFmtId="177" fontId="0" fillId="0" borderId="13" xfId="0" applyNumberFormat="1" applyBorder="1"/>
    <xf numFmtId="177" fontId="0" fillId="0" borderId="5" xfId="0" applyNumberFormat="1" applyBorder="1"/>
    <xf numFmtId="177" fontId="0" fillId="0" borderId="6" xfId="0" applyNumberFormat="1" applyBorder="1"/>
    <xf numFmtId="177" fontId="0" fillId="0" borderId="39" xfId="0" applyNumberFormat="1" applyBorder="1"/>
    <xf numFmtId="171" fontId="2" fillId="0" borderId="24" xfId="0" applyNumberFormat="1" applyFont="1" applyBorder="1" applyAlignment="1">
      <alignment horizontal="center" wrapText="1"/>
    </xf>
    <xf numFmtId="170" fontId="0" fillId="0" borderId="31" xfId="0" applyNumberFormat="1" applyBorder="1"/>
    <xf numFmtId="177" fontId="0" fillId="0" borderId="10" xfId="0" applyNumberFormat="1" applyBorder="1"/>
    <xf numFmtId="177" fontId="0" fillId="0" borderId="0" xfId="0" applyNumberFormat="1"/>
    <xf numFmtId="177" fontId="0" fillId="2" borderId="0" xfId="0" applyNumberFormat="1" applyFill="1"/>
    <xf numFmtId="177" fontId="0" fillId="0" borderId="9" xfId="0" applyNumberFormat="1" applyBorder="1"/>
    <xf numFmtId="177" fontId="0" fillId="0" borderId="4" xfId="0" applyNumberFormat="1" applyBorder="1"/>
    <xf numFmtId="177" fontId="13" fillId="0" borderId="5" xfId="0" applyNumberFormat="1" applyFont="1" applyBorder="1"/>
    <xf numFmtId="177" fontId="0" fillId="0" borderId="3" xfId="0" applyNumberFormat="1" applyBorder="1"/>
    <xf numFmtId="177" fontId="0" fillId="0" borderId="15" xfId="0" applyNumberFormat="1" applyBorder="1"/>
    <xf numFmtId="177" fontId="0" fillId="0" borderId="12" xfId="0" applyNumberFormat="1" applyBorder="1"/>
    <xf numFmtId="174" fontId="0" fillId="0" borderId="15" xfId="0" applyNumberFormat="1" applyBorder="1" applyAlignment="1">
      <alignment horizontal="center"/>
    </xf>
    <xf numFmtId="174" fontId="0" fillId="0" borderId="7" xfId="0" applyNumberFormat="1" applyBorder="1" applyAlignment="1">
      <alignment horizontal="center"/>
    </xf>
    <xf numFmtId="174" fontId="0" fillId="0" borderId="16" xfId="0" applyNumberFormat="1" applyBorder="1" applyAlignment="1">
      <alignment horizontal="center"/>
    </xf>
    <xf numFmtId="174" fontId="0" fillId="0" borderId="3" xfId="0" applyNumberFormat="1" applyBorder="1" applyAlignment="1">
      <alignment horizontal="center"/>
    </xf>
    <xf numFmtId="174" fontId="2" fillId="0" borderId="0" xfId="0" applyNumberFormat="1" applyFont="1" applyAlignment="1">
      <alignment horizontal="left" vertical="center"/>
    </xf>
    <xf numFmtId="0" fontId="2" fillId="0" borderId="0" xfId="0" applyFont="1" applyAlignment="1">
      <alignment horizontal="left" vertical="center"/>
    </xf>
    <xf numFmtId="0" fontId="0" fillId="0" borderId="0" xfId="0" applyAlignment="1">
      <alignment horizontal="left" wrapText="1"/>
    </xf>
    <xf numFmtId="0" fontId="2" fillId="0" borderId="0" xfId="0" applyFont="1" applyAlignment="1">
      <alignment horizontal="center"/>
    </xf>
    <xf numFmtId="0" fontId="19" fillId="0" borderId="0" xfId="0" applyFont="1" applyAlignment="1">
      <alignment horizontal="left" wrapText="1"/>
    </xf>
    <xf numFmtId="0" fontId="17" fillId="0" borderId="0" xfId="0" applyFont="1" applyAlignment="1">
      <alignment horizontal="left" wrapText="1"/>
    </xf>
    <xf numFmtId="0" fontId="0" fillId="0" borderId="0" xfId="0" applyAlignment="1">
      <alignment horizontal="left" vertical="top" wrapText="1"/>
    </xf>
    <xf numFmtId="0" fontId="20" fillId="0" borderId="0" xfId="0" applyFont="1" applyAlignment="1">
      <alignment horizontal="left" vertical="top" wrapText="1"/>
    </xf>
    <xf numFmtId="174" fontId="15" fillId="0" borderId="24" xfId="0" applyNumberFormat="1" applyFont="1" applyBorder="1" applyAlignment="1">
      <alignment horizontal="center"/>
    </xf>
    <xf numFmtId="174" fontId="15" fillId="0" borderId="3" xfId="0" applyNumberFormat="1" applyFont="1" applyBorder="1" applyAlignment="1">
      <alignment horizontal="center"/>
    </xf>
    <xf numFmtId="174" fontId="15" fillId="0" borderId="15" xfId="0" applyNumberFormat="1" applyFont="1" applyBorder="1" applyAlignment="1">
      <alignment horizontal="center"/>
    </xf>
    <xf numFmtId="174" fontId="15" fillId="0" borderId="8" xfId="0" applyNumberFormat="1" applyFont="1" applyBorder="1" applyAlignment="1">
      <alignment horizontal="center"/>
    </xf>
    <xf numFmtId="174" fontId="15" fillId="0" borderId="13" xfId="0" applyNumberFormat="1" applyFont="1" applyBorder="1" applyAlignment="1">
      <alignment horizontal="center"/>
    </xf>
    <xf numFmtId="174" fontId="15" fillId="0" borderId="14" xfId="0" applyNumberFormat="1" applyFont="1" applyBorder="1" applyAlignment="1">
      <alignment horizontal="center"/>
    </xf>
    <xf numFmtId="174" fontId="15" fillId="0" borderId="12" xfId="0" applyNumberFormat="1" applyFont="1" applyBorder="1" applyAlignment="1">
      <alignment horizontal="center"/>
    </xf>
    <xf numFmtId="174" fontId="15" fillId="0" borderId="16" xfId="0" applyNumberFormat="1" applyFont="1" applyBorder="1" applyAlignment="1">
      <alignment horizontal="center"/>
    </xf>
    <xf numFmtId="0" fontId="17" fillId="0" borderId="0" xfId="0" applyFont="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20F33-C796-4941-9986-A40650E4C6D5}">
  <dimension ref="A1:I39"/>
  <sheetViews>
    <sheetView showGridLines="0" topLeftCell="A22" zoomScaleNormal="100" workbookViewId="0">
      <selection activeCell="A15" sqref="A15:H39"/>
    </sheetView>
  </sheetViews>
  <sheetFormatPr defaultColWidth="8.81640625" defaultRowHeight="14.5" x14ac:dyDescent="0.35"/>
  <cols>
    <col min="4" max="4" width="15.1796875" bestFit="1" customWidth="1"/>
    <col min="6" max="6" width="15.453125" customWidth="1"/>
    <col min="8" max="8" width="33.26953125" bestFit="1" customWidth="1"/>
    <col min="9" max="9" width="9.81640625" bestFit="1" customWidth="1"/>
    <col min="11" max="11" width="9.81640625" bestFit="1" customWidth="1"/>
  </cols>
  <sheetData>
    <row r="1" spans="1:9" x14ac:dyDescent="0.35">
      <c r="D1" s="238" t="s">
        <v>0</v>
      </c>
      <c r="E1" s="238"/>
      <c r="F1" s="238"/>
      <c r="G1" s="238"/>
    </row>
    <row r="3" spans="1:9" x14ac:dyDescent="0.35">
      <c r="A3" s="9" t="s">
        <v>1</v>
      </c>
    </row>
    <row r="4" spans="1:9" ht="15" customHeight="1" x14ac:dyDescent="0.35">
      <c r="A4" s="237" t="s">
        <v>2</v>
      </c>
      <c r="B4" s="237"/>
      <c r="C4" s="237"/>
      <c r="D4" s="237"/>
      <c r="E4" s="237"/>
      <c r="F4" s="237"/>
      <c r="G4" s="237"/>
      <c r="H4" s="237"/>
    </row>
    <row r="5" spans="1:9" x14ac:dyDescent="0.35">
      <c r="A5" s="237"/>
      <c r="B5" s="237"/>
      <c r="C5" s="237"/>
      <c r="D5" s="237"/>
      <c r="E5" s="237"/>
      <c r="F5" s="237"/>
      <c r="G5" s="237"/>
      <c r="H5" s="237"/>
    </row>
    <row r="6" spans="1:9" x14ac:dyDescent="0.35">
      <c r="A6" s="237"/>
      <c r="B6" s="237"/>
      <c r="C6" s="237"/>
      <c r="D6" s="237"/>
      <c r="E6" s="237"/>
      <c r="F6" s="237"/>
      <c r="G6" s="237"/>
      <c r="H6" s="237"/>
    </row>
    <row r="7" spans="1:9" x14ac:dyDescent="0.35">
      <c r="A7" s="237"/>
      <c r="B7" s="237"/>
      <c r="C7" s="237"/>
      <c r="D7" s="237"/>
      <c r="E7" s="237"/>
      <c r="F7" s="237"/>
      <c r="G7" s="237"/>
      <c r="H7" s="237"/>
    </row>
    <row r="8" spans="1:9" x14ac:dyDescent="0.35">
      <c r="A8" s="237"/>
      <c r="B8" s="237"/>
      <c r="C8" s="237"/>
      <c r="D8" s="237"/>
      <c r="E8" s="237"/>
      <c r="F8" s="237"/>
      <c r="G8" s="237"/>
      <c r="H8" s="237"/>
    </row>
    <row r="10" spans="1:9" x14ac:dyDescent="0.35">
      <c r="A10" s="9" t="s">
        <v>3</v>
      </c>
    </row>
    <row r="11" spans="1:9" ht="13.5" customHeight="1" x14ac:dyDescent="0.35">
      <c r="A11" s="251" t="s">
        <v>4</v>
      </c>
      <c r="B11" s="242"/>
      <c r="C11" s="242"/>
      <c r="D11" s="242"/>
      <c r="E11" s="242"/>
      <c r="F11" s="242"/>
      <c r="G11" s="242"/>
      <c r="H11" s="242"/>
      <c r="I11" s="205"/>
    </row>
    <row r="12" spans="1:9" x14ac:dyDescent="0.35">
      <c r="A12" s="242"/>
      <c r="B12" s="242"/>
      <c r="C12" s="242"/>
      <c r="D12" s="242"/>
      <c r="E12" s="242"/>
      <c r="F12" s="242"/>
      <c r="G12" s="242"/>
      <c r="H12" s="242"/>
      <c r="I12" s="205"/>
    </row>
    <row r="13" spans="1:9" x14ac:dyDescent="0.35">
      <c r="A13" s="242"/>
      <c r="B13" s="242"/>
      <c r="C13" s="242"/>
      <c r="D13" s="242"/>
      <c r="E13" s="242"/>
      <c r="F13" s="242"/>
      <c r="G13" s="242"/>
      <c r="H13" s="242"/>
      <c r="I13" s="205"/>
    </row>
    <row r="14" spans="1:9" x14ac:dyDescent="0.35">
      <c r="A14" s="202"/>
      <c r="B14" s="202"/>
      <c r="C14" s="202"/>
      <c r="D14" s="202"/>
      <c r="E14" s="202"/>
      <c r="F14" s="202"/>
      <c r="G14" s="202"/>
      <c r="H14" s="202"/>
    </row>
    <row r="15" spans="1:9" x14ac:dyDescent="0.35">
      <c r="A15" s="9" t="s">
        <v>5</v>
      </c>
    </row>
    <row r="16" spans="1:9" x14ac:dyDescent="0.35">
      <c r="B16" s="9"/>
      <c r="C16" s="9"/>
      <c r="D16" s="9" t="s">
        <v>6</v>
      </c>
      <c r="E16" s="9"/>
      <c r="F16" s="9" t="s">
        <v>7</v>
      </c>
    </row>
    <row r="17" spans="1:8" x14ac:dyDescent="0.35">
      <c r="A17" s="203" t="s">
        <v>8</v>
      </c>
      <c r="D17" s="4">
        <f>'NPV (Y2-Y31)'!D78</f>
        <v>1693869344.5739114</v>
      </c>
      <c r="F17" s="4">
        <f>'NPV (Y2-Y31)'!F78</f>
        <v>1980071024.6363063</v>
      </c>
    </row>
    <row r="18" spans="1:8" x14ac:dyDescent="0.35">
      <c r="A18" s="203" t="s">
        <v>9</v>
      </c>
      <c r="D18" s="208">
        <f>IRR('NPV (Y2-Y31)'!C47:C77)</f>
        <v>0.18527229650452237</v>
      </c>
      <c r="F18" s="208">
        <f>IRR('NPV (Y2-Y31)'!E47:E77)</f>
        <v>0.40670795183176311</v>
      </c>
    </row>
    <row r="19" spans="1:8" x14ac:dyDescent="0.35">
      <c r="A19" s="203" t="s">
        <v>10</v>
      </c>
      <c r="D19" s="214" cm="1">
        <f t="array" ref="D19">(Set_Up_Year+Increment+Increment+Increment+Increment)+(Pipeline_TotalCost-SUM('NPV (Y2-Y31)'!C48:C52))/'NPV (Y2-Y31)'!C53</f>
        <v>5.7243897058214124</v>
      </c>
      <c r="F19" s="206">
        <f>(Set_Up_Year+Increment)+(Building_Cost_Tanker-'NPV (Y2-Y31)'!E48-'NPV (Y2-Y31)'!E49)/'NPV (Y2-Y31)'!E50</f>
        <v>2.5157506705878996</v>
      </c>
    </row>
    <row r="20" spans="1:8" x14ac:dyDescent="0.35">
      <c r="A20" s="203" t="s">
        <v>11</v>
      </c>
      <c r="D20" s="214" cm="1">
        <f t="array" ref="D20">'NPV (Y2-Y31)'!D78/Pipeline_TotalCost</f>
        <v>3.2574410472575219</v>
      </c>
      <c r="F20" s="214">
        <f>'NPV (Y2-Y31)'!F78/Building_Cost_Tanker</f>
        <v>7.920284098545225</v>
      </c>
    </row>
    <row r="21" spans="1:8" x14ac:dyDescent="0.35">
      <c r="A21" s="203"/>
    </row>
    <row r="22" spans="1:8" x14ac:dyDescent="0.35">
      <c r="A22" s="9" t="s">
        <v>12</v>
      </c>
    </row>
    <row r="23" spans="1:8" x14ac:dyDescent="0.35">
      <c r="A23" s="239" t="s">
        <v>13</v>
      </c>
      <c r="B23" s="239"/>
      <c r="C23" s="239"/>
      <c r="D23" s="239"/>
      <c r="E23" s="239"/>
      <c r="F23" s="239"/>
      <c r="G23" s="239"/>
      <c r="H23" s="239"/>
    </row>
    <row r="24" spans="1:8" x14ac:dyDescent="0.35">
      <c r="A24" s="239"/>
      <c r="B24" s="239"/>
      <c r="C24" s="239"/>
      <c r="D24" s="239"/>
      <c r="E24" s="239"/>
      <c r="F24" s="239"/>
      <c r="G24" s="239"/>
      <c r="H24" s="239"/>
    </row>
    <row r="25" spans="1:8" x14ac:dyDescent="0.35">
      <c r="A25" s="239"/>
      <c r="B25" s="239"/>
      <c r="C25" s="239"/>
      <c r="D25" s="239"/>
      <c r="E25" s="239"/>
      <c r="F25" s="239"/>
      <c r="G25" s="239"/>
      <c r="H25" s="239"/>
    </row>
    <row r="26" spans="1:8" ht="30.75" customHeight="1" x14ac:dyDescent="0.35">
      <c r="A26" s="239"/>
      <c r="B26" s="239"/>
      <c r="C26" s="239"/>
      <c r="D26" s="239"/>
      <c r="E26" s="239"/>
      <c r="F26" s="239"/>
      <c r="G26" s="239"/>
      <c r="H26" s="239"/>
    </row>
    <row r="27" spans="1:8" x14ac:dyDescent="0.35">
      <c r="A27" s="239" t="s">
        <v>323</v>
      </c>
      <c r="B27" s="240"/>
      <c r="C27" s="240"/>
      <c r="D27" s="240"/>
      <c r="E27" s="240"/>
      <c r="F27" s="240"/>
      <c r="G27" s="240"/>
      <c r="H27" s="240"/>
    </row>
    <row r="28" spans="1:8" x14ac:dyDescent="0.35">
      <c r="A28" s="240"/>
      <c r="B28" s="240"/>
      <c r="C28" s="240"/>
      <c r="D28" s="240"/>
      <c r="E28" s="240"/>
      <c r="F28" s="240"/>
      <c r="G28" s="240"/>
      <c r="H28" s="240"/>
    </row>
    <row r="29" spans="1:8" ht="17.25" customHeight="1" x14ac:dyDescent="0.35">
      <c r="A29" s="239" t="s">
        <v>14</v>
      </c>
      <c r="B29" s="239"/>
      <c r="C29" s="239"/>
      <c r="D29" s="239"/>
      <c r="E29" s="239"/>
      <c r="F29" s="239"/>
      <c r="G29" s="239"/>
      <c r="H29" s="239"/>
    </row>
    <row r="30" spans="1:8" x14ac:dyDescent="0.35">
      <c r="A30" s="239"/>
      <c r="B30" s="239"/>
      <c r="C30" s="239"/>
      <c r="D30" s="239"/>
      <c r="E30" s="239"/>
      <c r="F30" s="239"/>
      <c r="G30" s="239"/>
      <c r="H30" s="239"/>
    </row>
    <row r="31" spans="1:8" x14ac:dyDescent="0.35">
      <c r="A31" s="239"/>
      <c r="B31" s="239"/>
      <c r="C31" s="239"/>
      <c r="D31" s="239"/>
      <c r="E31" s="239"/>
      <c r="F31" s="239"/>
      <c r="G31" s="239"/>
      <c r="H31" s="239"/>
    </row>
    <row r="32" spans="1:8" x14ac:dyDescent="0.35">
      <c r="A32" s="239" t="s">
        <v>15</v>
      </c>
      <c r="B32" s="240"/>
      <c r="C32" s="240"/>
      <c r="D32" s="240"/>
      <c r="E32" s="240"/>
      <c r="F32" s="240"/>
      <c r="G32" s="240"/>
      <c r="H32" s="240"/>
    </row>
    <row r="33" spans="1:8" x14ac:dyDescent="0.35">
      <c r="A33" s="240"/>
      <c r="B33" s="240"/>
      <c r="C33" s="240"/>
      <c r="D33" s="240"/>
      <c r="E33" s="240"/>
      <c r="F33" s="240"/>
      <c r="G33" s="240"/>
      <c r="H33" s="240"/>
    </row>
    <row r="34" spans="1:8" x14ac:dyDescent="0.35">
      <c r="A34" s="239" t="s">
        <v>16</v>
      </c>
      <c r="B34" s="239"/>
      <c r="C34" s="239"/>
      <c r="D34" s="239"/>
      <c r="E34" s="239"/>
      <c r="F34" s="239"/>
      <c r="G34" s="239"/>
      <c r="H34" s="239"/>
    </row>
    <row r="35" spans="1:8" x14ac:dyDescent="0.35">
      <c r="A35" s="239"/>
      <c r="B35" s="239"/>
      <c r="C35" s="239"/>
      <c r="D35" s="239"/>
      <c r="E35" s="239"/>
      <c r="F35" s="239"/>
      <c r="G35" s="239"/>
      <c r="H35" s="239"/>
    </row>
    <row r="36" spans="1:8" x14ac:dyDescent="0.35">
      <c r="A36" s="9" t="s">
        <v>17</v>
      </c>
      <c r="B36" s="9"/>
    </row>
    <row r="37" spans="1:8" x14ac:dyDescent="0.35">
      <c r="A37" s="241" t="s">
        <v>18</v>
      </c>
      <c r="B37" s="241"/>
      <c r="C37" s="241"/>
      <c r="D37" s="241"/>
      <c r="E37" s="241"/>
      <c r="F37" s="241"/>
      <c r="G37" s="241"/>
      <c r="H37" s="241"/>
    </row>
    <row r="38" spans="1:8" x14ac:dyDescent="0.35">
      <c r="A38" s="241"/>
      <c r="B38" s="241"/>
      <c r="C38" s="241"/>
      <c r="D38" s="241"/>
      <c r="E38" s="241"/>
      <c r="F38" s="241"/>
      <c r="G38" s="241"/>
      <c r="H38" s="241"/>
    </row>
    <row r="39" spans="1:8" x14ac:dyDescent="0.35">
      <c r="A39" s="241"/>
      <c r="B39" s="241"/>
      <c r="C39" s="241"/>
      <c r="D39" s="241"/>
      <c r="E39" s="241"/>
      <c r="F39" s="241"/>
      <c r="G39" s="241"/>
      <c r="H39" s="241"/>
    </row>
  </sheetData>
  <mergeCells count="9">
    <mergeCell ref="A4:H8"/>
    <mergeCell ref="D1:G1"/>
    <mergeCell ref="A32:H33"/>
    <mergeCell ref="A34:H35"/>
    <mergeCell ref="A37:H39"/>
    <mergeCell ref="A29:H31"/>
    <mergeCell ref="A11:H13"/>
    <mergeCell ref="A23:H26"/>
    <mergeCell ref="A27:H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0956B-FCDF-444A-AE8D-3D238FEED557}">
  <dimension ref="A1:I106"/>
  <sheetViews>
    <sheetView tabSelected="1" topLeftCell="A44" zoomScaleNormal="100" workbookViewId="0">
      <selection activeCell="C9" sqref="C9"/>
    </sheetView>
  </sheetViews>
  <sheetFormatPr defaultColWidth="9.1796875" defaultRowHeight="14.5" x14ac:dyDescent="0.35"/>
  <cols>
    <col min="1" max="1" width="54.26953125" style="1" bestFit="1" customWidth="1"/>
    <col min="2" max="2" width="19.81640625" style="1" bestFit="1" customWidth="1"/>
    <col min="3" max="4" width="9.1796875" style="1"/>
    <col min="5" max="5" width="37.7265625" style="1" bestFit="1" customWidth="1"/>
    <col min="6" max="6" width="16.1796875" style="1" bestFit="1" customWidth="1"/>
    <col min="7" max="16384" width="9.1796875" style="1"/>
  </cols>
  <sheetData>
    <row r="1" spans="1:9" x14ac:dyDescent="0.35">
      <c r="A1" s="2" t="s">
        <v>19</v>
      </c>
    </row>
    <row r="2" spans="1:9" x14ac:dyDescent="0.35">
      <c r="A2" s="2" t="s">
        <v>20</v>
      </c>
    </row>
    <row r="4" spans="1:9" x14ac:dyDescent="0.35">
      <c r="A4" s="21" t="s">
        <v>21</v>
      </c>
      <c r="B4" s="22"/>
      <c r="C4"/>
      <c r="D4"/>
      <c r="E4"/>
      <c r="F4"/>
      <c r="G4"/>
    </row>
    <row r="5" spans="1:9" x14ac:dyDescent="0.35">
      <c r="A5" s="23" t="s">
        <v>22</v>
      </c>
      <c r="B5" s="24"/>
      <c r="C5"/>
      <c r="D5"/>
      <c r="E5"/>
      <c r="F5"/>
      <c r="G5"/>
    </row>
    <row r="6" spans="1:9" x14ac:dyDescent="0.35">
      <c r="A6" s="25" t="s">
        <v>23</v>
      </c>
      <c r="B6" s="24"/>
      <c r="C6"/>
      <c r="D6"/>
      <c r="E6"/>
      <c r="F6"/>
      <c r="G6"/>
    </row>
    <row r="7" spans="1:9" x14ac:dyDescent="0.35">
      <c r="A7" s="26" t="s">
        <v>24</v>
      </c>
      <c r="B7" s="24"/>
      <c r="C7"/>
      <c r="D7"/>
      <c r="E7"/>
      <c r="F7"/>
      <c r="G7"/>
    </row>
    <row r="8" spans="1:9" x14ac:dyDescent="0.35">
      <c r="A8" s="27"/>
      <c r="B8" s="24" t="s">
        <v>25</v>
      </c>
      <c r="C8"/>
      <c r="D8"/>
      <c r="E8"/>
      <c r="F8"/>
      <c r="G8"/>
    </row>
    <row r="9" spans="1:9" x14ac:dyDescent="0.35">
      <c r="A9" s="29" t="s">
        <v>26</v>
      </c>
      <c r="B9" s="28"/>
      <c r="C9"/>
      <c r="D9"/>
      <c r="E9"/>
      <c r="F9"/>
      <c r="G9"/>
    </row>
    <row r="10" spans="1:9" x14ac:dyDescent="0.35">
      <c r="A10"/>
      <c r="B10"/>
      <c r="C10"/>
      <c r="D10"/>
      <c r="E10"/>
      <c r="F10"/>
      <c r="G10"/>
    </row>
    <row r="11" spans="1:9" x14ac:dyDescent="0.35">
      <c r="A11" s="38" t="s">
        <v>27</v>
      </c>
      <c r="B11" s="14"/>
      <c r="C11" s="14"/>
      <c r="D11" s="14"/>
      <c r="E11" s="14"/>
      <c r="F11" s="14"/>
      <c r="G11" s="14"/>
    </row>
    <row r="13" spans="1:9" x14ac:dyDescent="0.35">
      <c r="A13" s="2" t="s">
        <v>28</v>
      </c>
      <c r="E13" s="2" t="s">
        <v>29</v>
      </c>
    </row>
    <row r="14" spans="1:9" x14ac:dyDescent="0.35">
      <c r="A14" s="1" t="s">
        <v>30</v>
      </c>
      <c r="B14" s="15">
        <v>1</v>
      </c>
      <c r="E14" s="1" t="s">
        <v>31</v>
      </c>
    </row>
    <row r="15" spans="1:9" x14ac:dyDescent="0.35">
      <c r="A15" s="1" t="s">
        <v>32</v>
      </c>
      <c r="B15" s="39">
        <v>12</v>
      </c>
      <c r="E15" s="1" t="s">
        <v>33</v>
      </c>
      <c r="F15" s="40">
        <v>1.4999999999999999E-2</v>
      </c>
      <c r="I15" s="121"/>
    </row>
    <row r="16" spans="1:9" x14ac:dyDescent="0.35">
      <c r="A16" s="1" t="s">
        <v>34</v>
      </c>
      <c r="B16" s="41">
        <v>365.25</v>
      </c>
      <c r="E16" s="1" t="s">
        <v>35</v>
      </c>
      <c r="F16" s="42">
        <v>3.9E-2</v>
      </c>
    </row>
    <row r="17" spans="1:6" x14ac:dyDescent="0.35">
      <c r="A17" s="1" t="s">
        <v>36</v>
      </c>
      <c r="B17" s="17">
        <v>1</v>
      </c>
      <c r="E17" s="1" t="s">
        <v>37</v>
      </c>
      <c r="F17" s="41">
        <v>2</v>
      </c>
    </row>
    <row r="18" spans="1:6" x14ac:dyDescent="0.35">
      <c r="B18" s="34"/>
      <c r="E18" s="1" t="s">
        <v>38</v>
      </c>
      <c r="F18" s="42">
        <v>5.0000000000000001E-3</v>
      </c>
    </row>
    <row r="19" spans="1:6" x14ac:dyDescent="0.35">
      <c r="A19" s="1" t="s">
        <v>39</v>
      </c>
      <c r="B19" s="18">
        <v>2</v>
      </c>
      <c r="E19" s="1" t="s">
        <v>40</v>
      </c>
      <c r="F19" s="15">
        <v>0</v>
      </c>
    </row>
    <row r="20" spans="1:6" x14ac:dyDescent="0.35">
      <c r="A20" s="1" t="s">
        <v>41</v>
      </c>
      <c r="B20" s="18">
        <v>30</v>
      </c>
      <c r="F20" s="43"/>
    </row>
    <row r="21" spans="1:6" x14ac:dyDescent="0.35">
      <c r="A21" s="1" t="s">
        <v>42</v>
      </c>
      <c r="B21" s="16">
        <v>21</v>
      </c>
      <c r="E21" s="2" t="s">
        <v>43</v>
      </c>
      <c r="F21" s="42"/>
    </row>
    <row r="22" spans="1:6" x14ac:dyDescent="0.35">
      <c r="A22" s="5" t="s">
        <v>44</v>
      </c>
      <c r="B22" s="20">
        <v>1</v>
      </c>
      <c r="E22" s="1" t="s">
        <v>45</v>
      </c>
      <c r="F22" s="44">
        <v>30</v>
      </c>
    </row>
    <row r="23" spans="1:6" x14ac:dyDescent="0.35">
      <c r="E23" s="1" t="s">
        <v>46</v>
      </c>
      <c r="F23" s="42">
        <v>0.04</v>
      </c>
    </row>
    <row r="24" spans="1:6" x14ac:dyDescent="0.35">
      <c r="A24" s="78" t="s">
        <v>47</v>
      </c>
      <c r="E24" s="1" t="s">
        <v>48</v>
      </c>
      <c r="F24" s="19">
        <v>10000000</v>
      </c>
    </row>
    <row r="25" spans="1:6" x14ac:dyDescent="0.35">
      <c r="A25" s="1" t="s">
        <v>49</v>
      </c>
      <c r="B25" s="79">
        <v>31</v>
      </c>
    </row>
    <row r="26" spans="1:6" x14ac:dyDescent="0.35">
      <c r="A26" s="1" t="s">
        <v>50</v>
      </c>
      <c r="B26" s="43">
        <v>28.25</v>
      </c>
      <c r="E26" s="2" t="s">
        <v>51</v>
      </c>
    </row>
    <row r="27" spans="1:6" x14ac:dyDescent="0.35">
      <c r="A27" s="1" t="s">
        <v>52</v>
      </c>
      <c r="B27" s="79">
        <v>31</v>
      </c>
      <c r="E27" s="1" t="s">
        <v>53</v>
      </c>
      <c r="F27" s="45">
        <v>30</v>
      </c>
    </row>
    <row r="28" spans="1:6" x14ac:dyDescent="0.35">
      <c r="A28" s="1" t="s">
        <v>54</v>
      </c>
      <c r="B28" s="79">
        <v>30</v>
      </c>
    </row>
    <row r="29" spans="1:6" x14ac:dyDescent="0.35">
      <c r="A29" s="1" t="s">
        <v>55</v>
      </c>
      <c r="B29" s="79">
        <v>31</v>
      </c>
    </row>
    <row r="30" spans="1:6" x14ac:dyDescent="0.35">
      <c r="A30" s="1" t="s">
        <v>56</v>
      </c>
      <c r="B30" s="79">
        <v>30</v>
      </c>
    </row>
    <row r="31" spans="1:6" x14ac:dyDescent="0.35">
      <c r="A31" s="1" t="s">
        <v>57</v>
      </c>
      <c r="B31" s="79">
        <v>31</v>
      </c>
    </row>
    <row r="32" spans="1:6" x14ac:dyDescent="0.35">
      <c r="A32" s="1" t="s">
        <v>58</v>
      </c>
      <c r="B32" s="79">
        <v>31</v>
      </c>
    </row>
    <row r="33" spans="1:7" x14ac:dyDescent="0.35">
      <c r="A33" s="1" t="s">
        <v>59</v>
      </c>
      <c r="B33" s="79">
        <v>30</v>
      </c>
    </row>
    <row r="34" spans="1:7" x14ac:dyDescent="0.35">
      <c r="A34" s="1" t="s">
        <v>60</v>
      </c>
      <c r="B34" s="79">
        <v>31</v>
      </c>
    </row>
    <row r="35" spans="1:7" x14ac:dyDescent="0.35">
      <c r="A35" s="1" t="s">
        <v>61</v>
      </c>
      <c r="B35" s="79">
        <v>30</v>
      </c>
    </row>
    <row r="36" spans="1:7" x14ac:dyDescent="0.35">
      <c r="A36" s="1" t="s">
        <v>62</v>
      </c>
      <c r="B36" s="79">
        <v>31</v>
      </c>
    </row>
    <row r="39" spans="1:7" x14ac:dyDescent="0.35">
      <c r="A39" s="38" t="s">
        <v>63</v>
      </c>
      <c r="B39" s="14"/>
      <c r="C39" s="14"/>
      <c r="D39" s="14"/>
      <c r="E39" s="14"/>
      <c r="F39" s="14"/>
      <c r="G39" s="14"/>
    </row>
    <row r="41" spans="1:7" x14ac:dyDescent="0.35">
      <c r="A41" s="2" t="s">
        <v>51</v>
      </c>
      <c r="E41" s="2" t="s">
        <v>64</v>
      </c>
    </row>
    <row r="42" spans="1:7" x14ac:dyDescent="0.35">
      <c r="A42" s="1" t="s">
        <v>65</v>
      </c>
      <c r="B42" s="45">
        <v>400000000</v>
      </c>
      <c r="E42" s="5" t="s">
        <v>66</v>
      </c>
      <c r="F42" s="45">
        <v>17000000000</v>
      </c>
    </row>
    <row r="43" spans="1:7" x14ac:dyDescent="0.35">
      <c r="A43" s="1" t="s">
        <v>67</v>
      </c>
      <c r="B43" s="46">
        <v>120000000</v>
      </c>
      <c r="E43" s="5" t="s">
        <v>68</v>
      </c>
      <c r="F43" s="47">
        <v>4.5999999999999999E-2</v>
      </c>
    </row>
    <row r="44" spans="1:7" x14ac:dyDescent="0.35">
      <c r="A44" s="1" t="s">
        <v>69</v>
      </c>
      <c r="B44" s="48">
        <f>Contract_Mgmt_Fees+Building_Cost_Pipeline</f>
        <v>520000000</v>
      </c>
      <c r="E44" s="5" t="s">
        <v>70</v>
      </c>
      <c r="F44" s="47">
        <v>5.1999999999999998E-2</v>
      </c>
    </row>
    <row r="45" spans="1:7" x14ac:dyDescent="0.35">
      <c r="A45" s="1" t="s">
        <v>71</v>
      </c>
      <c r="B45" s="45">
        <v>15000000</v>
      </c>
    </row>
    <row r="46" spans="1:7" x14ac:dyDescent="0.35">
      <c r="B46" s="43"/>
    </row>
    <row r="47" spans="1:7" x14ac:dyDescent="0.35">
      <c r="A47" s="2" t="s">
        <v>72</v>
      </c>
      <c r="B47" s="45"/>
    </row>
    <row r="48" spans="1:7" x14ac:dyDescent="0.35">
      <c r="A48" s="1" t="s">
        <v>73</v>
      </c>
      <c r="B48" s="45">
        <v>2200000</v>
      </c>
    </row>
    <row r="49" spans="1:7" x14ac:dyDescent="0.35">
      <c r="A49" s="1" t="s">
        <v>74</v>
      </c>
      <c r="B49" s="45">
        <v>1000000</v>
      </c>
    </row>
    <row r="50" spans="1:7" x14ac:dyDescent="0.35">
      <c r="A50" s="1" t="s">
        <v>75</v>
      </c>
      <c r="B50" s="45">
        <v>12000000</v>
      </c>
    </row>
    <row r="51" spans="1:7" x14ac:dyDescent="0.35">
      <c r="A51" s="1" t="s">
        <v>76</v>
      </c>
      <c r="B51" s="45">
        <v>4700000</v>
      </c>
    </row>
    <row r="52" spans="1:7" x14ac:dyDescent="0.35">
      <c r="A52" s="1" t="s">
        <v>77</v>
      </c>
      <c r="B52" s="45">
        <v>800000</v>
      </c>
    </row>
    <row r="54" spans="1:7" x14ac:dyDescent="0.35">
      <c r="F54" s="3"/>
    </row>
    <row r="55" spans="1:7" x14ac:dyDescent="0.35">
      <c r="A55" s="38" t="s">
        <v>78</v>
      </c>
      <c r="B55" s="14"/>
      <c r="C55" s="14"/>
      <c r="D55" s="14"/>
      <c r="E55" s="14"/>
      <c r="F55" s="14"/>
      <c r="G55" s="14"/>
    </row>
    <row r="56" spans="1:7" x14ac:dyDescent="0.35">
      <c r="F56" s="3"/>
    </row>
    <row r="57" spans="1:7" x14ac:dyDescent="0.35">
      <c r="A57" s="2" t="s">
        <v>51</v>
      </c>
      <c r="E57" s="2" t="s">
        <v>64</v>
      </c>
    </row>
    <row r="58" spans="1:7" x14ac:dyDescent="0.35">
      <c r="A58" s="1" t="s">
        <v>79</v>
      </c>
      <c r="B58" s="45">
        <v>250000000</v>
      </c>
      <c r="E58" s="5" t="s">
        <v>80</v>
      </c>
      <c r="F58" s="36">
        <v>600</v>
      </c>
    </row>
    <row r="59" spans="1:7" x14ac:dyDescent="0.35">
      <c r="A59" s="1" t="s">
        <v>81</v>
      </c>
      <c r="B59" s="45">
        <v>20000000</v>
      </c>
      <c r="E59" s="1" t="s">
        <v>82</v>
      </c>
      <c r="F59" s="37">
        <v>28330000</v>
      </c>
    </row>
    <row r="60" spans="1:7" x14ac:dyDescent="0.35">
      <c r="E60" s="5" t="s">
        <v>83</v>
      </c>
      <c r="F60" s="36">
        <v>22</v>
      </c>
    </row>
    <row r="61" spans="1:7" x14ac:dyDescent="0.35">
      <c r="A61" s="2" t="s">
        <v>72</v>
      </c>
      <c r="E61" s="5" t="s">
        <v>84</v>
      </c>
      <c r="F61" s="36">
        <v>28</v>
      </c>
    </row>
    <row r="62" spans="1:7" x14ac:dyDescent="0.35">
      <c r="A62" s="1" t="s">
        <v>85</v>
      </c>
      <c r="B62" s="45">
        <v>1800000</v>
      </c>
      <c r="E62" s="5" t="s">
        <v>86</v>
      </c>
      <c r="F62" s="36">
        <v>260000</v>
      </c>
    </row>
    <row r="63" spans="1:7" x14ac:dyDescent="0.35">
      <c r="A63" s="1" t="s">
        <v>75</v>
      </c>
      <c r="B63" s="45">
        <v>2000000</v>
      </c>
      <c r="E63" s="5" t="s">
        <v>87</v>
      </c>
      <c r="F63" s="30"/>
    </row>
    <row r="64" spans="1:7" x14ac:dyDescent="0.35">
      <c r="A64" s="1" t="s">
        <v>88</v>
      </c>
      <c r="B64" s="45">
        <v>2000000</v>
      </c>
      <c r="E64" s="5" t="s">
        <v>89</v>
      </c>
      <c r="F64" s="36">
        <v>5000000</v>
      </c>
    </row>
    <row r="65" spans="1:7" x14ac:dyDescent="0.35">
      <c r="A65" s="1" t="s">
        <v>90</v>
      </c>
      <c r="B65" s="45">
        <v>220000</v>
      </c>
      <c r="E65" s="5" t="s">
        <v>91</v>
      </c>
      <c r="F65" s="49">
        <v>0.9</v>
      </c>
    </row>
    <row r="66" spans="1:7" x14ac:dyDescent="0.35">
      <c r="A66" s="1" t="s">
        <v>92</v>
      </c>
      <c r="B66" s="45">
        <v>380</v>
      </c>
      <c r="E66" s="5"/>
      <c r="F66" s="49"/>
    </row>
    <row r="67" spans="1:7" x14ac:dyDescent="0.35">
      <c r="A67" s="1" t="s">
        <v>93</v>
      </c>
      <c r="B67" s="45">
        <v>24</v>
      </c>
    </row>
    <row r="68" spans="1:7" x14ac:dyDescent="0.35">
      <c r="A68" s="1" t="s">
        <v>94</v>
      </c>
      <c r="B68" s="45">
        <v>40000</v>
      </c>
    </row>
    <row r="69" spans="1:7" x14ac:dyDescent="0.35">
      <c r="A69" s="1" t="s">
        <v>95</v>
      </c>
      <c r="B69" s="45">
        <v>33000000</v>
      </c>
      <c r="E69" s="6"/>
    </row>
    <row r="71" spans="1:7" x14ac:dyDescent="0.35">
      <c r="A71" s="2" t="s">
        <v>96</v>
      </c>
      <c r="B71" s="4"/>
    </row>
    <row r="72" spans="1:7" x14ac:dyDescent="0.35">
      <c r="A72" s="1" t="s">
        <v>97</v>
      </c>
      <c r="B72" s="45">
        <v>3500000</v>
      </c>
    </row>
    <row r="73" spans="1:7" x14ac:dyDescent="0.35">
      <c r="A73" s="1" t="s">
        <v>98</v>
      </c>
      <c r="B73" s="45"/>
    </row>
    <row r="74" spans="1:7" x14ac:dyDescent="0.35">
      <c r="A74" s="1" t="s">
        <v>99</v>
      </c>
      <c r="B74" s="50">
        <v>0.14000000000000001</v>
      </c>
      <c r="E74" s="6"/>
    </row>
    <row r="75" spans="1:7" x14ac:dyDescent="0.35">
      <c r="A75" s="1" t="s">
        <v>100</v>
      </c>
      <c r="B75" s="50">
        <v>7.0000000000000007E-2</v>
      </c>
    </row>
    <row r="76" spans="1:7" x14ac:dyDescent="0.35">
      <c r="B76" s="35"/>
    </row>
    <row r="80" spans="1:7" x14ac:dyDescent="0.35">
      <c r="B80" s="36"/>
      <c r="E80" s="31"/>
      <c r="F80" s="32"/>
      <c r="G80" s="32"/>
    </row>
    <row r="81" spans="2:7" x14ac:dyDescent="0.35">
      <c r="B81" s="36"/>
      <c r="G81"/>
    </row>
    <row r="82" spans="2:7" x14ac:dyDescent="0.35">
      <c r="B82" s="36"/>
      <c r="G82"/>
    </row>
    <row r="83" spans="2:7" x14ac:dyDescent="0.35">
      <c r="B83" s="37"/>
      <c r="G83" s="33"/>
    </row>
    <row r="84" spans="2:7" x14ac:dyDescent="0.35">
      <c r="B84" s="36"/>
      <c r="E84" s="33"/>
      <c r="F84" s="33"/>
      <c r="G84"/>
    </row>
    <row r="85" spans="2:7" x14ac:dyDescent="0.35">
      <c r="B85" s="36"/>
      <c r="E85" s="33"/>
      <c r="G85" s="33"/>
    </row>
    <row r="87" spans="2:7" x14ac:dyDescent="0.35">
      <c r="G87" s="33"/>
    </row>
    <row r="90" spans="2:7" x14ac:dyDescent="0.35">
      <c r="B90" s="4"/>
    </row>
    <row r="96" spans="2:7" x14ac:dyDescent="0.35">
      <c r="B96" s="4"/>
    </row>
    <row r="97" spans="2:2" x14ac:dyDescent="0.35">
      <c r="B97" s="4"/>
    </row>
    <row r="98" spans="2:2" x14ac:dyDescent="0.35">
      <c r="B98" s="4"/>
    </row>
    <row r="99" spans="2:2" x14ac:dyDescent="0.35">
      <c r="B99" s="4"/>
    </row>
    <row r="100" spans="2:2" x14ac:dyDescent="0.35">
      <c r="B100" s="4"/>
    </row>
    <row r="101" spans="2:2" x14ac:dyDescent="0.35">
      <c r="B101" s="4"/>
    </row>
    <row r="102" spans="2:2" x14ac:dyDescent="0.35">
      <c r="B102" s="4"/>
    </row>
    <row r="103" spans="2:2" x14ac:dyDescent="0.35">
      <c r="B103" s="4"/>
    </row>
    <row r="104" spans="2:2" x14ac:dyDescent="0.35">
      <c r="B104" s="4"/>
    </row>
    <row r="105" spans="2:2" x14ac:dyDescent="0.35">
      <c r="B105" s="4"/>
    </row>
    <row r="106" spans="2:2" x14ac:dyDescent="0.35">
      <c r="B10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0C3B-5607-004B-9573-22025E37B062}">
  <dimension ref="A1:J150"/>
  <sheetViews>
    <sheetView workbookViewId="0">
      <selection activeCell="C4" sqref="C4"/>
    </sheetView>
  </sheetViews>
  <sheetFormatPr defaultColWidth="11.453125" defaultRowHeight="14.5" x14ac:dyDescent="0.35"/>
  <cols>
    <col min="1" max="1" width="43.453125" bestFit="1" customWidth="1"/>
    <col min="2" max="2" width="18.1796875" customWidth="1"/>
    <col min="3" max="3" width="24.1796875" customWidth="1"/>
    <col min="4" max="4" width="23.26953125" customWidth="1"/>
    <col min="5" max="5" width="18.453125" customWidth="1"/>
    <col min="6" max="6" width="25.453125" customWidth="1"/>
    <col min="7" max="7" width="22" customWidth="1"/>
    <col min="8" max="8" width="32.7265625" customWidth="1"/>
    <col min="9" max="9" width="18.7265625" customWidth="1"/>
    <col min="10" max="32" width="18.453125" bestFit="1" customWidth="1"/>
  </cols>
  <sheetData>
    <row r="1" spans="1:4" x14ac:dyDescent="0.35">
      <c r="A1" s="9" t="s">
        <v>19</v>
      </c>
    </row>
    <row r="2" spans="1:4" x14ac:dyDescent="0.35">
      <c r="A2" s="9" t="s">
        <v>101</v>
      </c>
    </row>
    <row r="4" spans="1:4" x14ac:dyDescent="0.35">
      <c r="A4" s="2" t="s">
        <v>51</v>
      </c>
    </row>
    <row r="5" spans="1:4" x14ac:dyDescent="0.35">
      <c r="B5" s="54" t="s">
        <v>102</v>
      </c>
    </row>
    <row r="6" spans="1:4" x14ac:dyDescent="0.35">
      <c r="A6" s="145" t="s">
        <v>103</v>
      </c>
      <c r="B6" s="146" cm="1">
        <f t="array" ref="B6">Pipeline_TotalCost</f>
        <v>520000000</v>
      </c>
    </row>
    <row r="7" spans="1:4" x14ac:dyDescent="0.35">
      <c r="A7" s="70" t="s">
        <v>104</v>
      </c>
      <c r="B7" s="147">
        <f>Useful_Life</f>
        <v>30</v>
      </c>
    </row>
    <row r="8" spans="1:4" x14ac:dyDescent="0.35">
      <c r="A8" s="71" t="s">
        <v>105</v>
      </c>
      <c r="B8" s="150">
        <f>Salvage_Val_Pipeline</f>
        <v>15000000</v>
      </c>
    </row>
    <row r="9" spans="1:4" x14ac:dyDescent="0.35">
      <c r="A9" s="71" t="s">
        <v>106</v>
      </c>
      <c r="B9" s="149" cm="1">
        <f t="array" ref="B9">(Pipeline_TotalCost-Salvage_Val_Pipeline)/Useful_Life</f>
        <v>16833333.333333332</v>
      </c>
    </row>
    <row r="11" spans="1:4" x14ac:dyDescent="0.35">
      <c r="A11" s="9" t="s">
        <v>107</v>
      </c>
    </row>
    <row r="12" spans="1:4" x14ac:dyDescent="0.35">
      <c r="A12" s="54" t="s">
        <v>108</v>
      </c>
      <c r="B12" s="54" t="s">
        <v>109</v>
      </c>
      <c r="C12" s="54" t="s">
        <v>110</v>
      </c>
      <c r="D12" s="54" t="s">
        <v>111</v>
      </c>
    </row>
    <row r="13" spans="1:4" x14ac:dyDescent="0.35">
      <c r="A13" s="62">
        <f>Increment</f>
        <v>1</v>
      </c>
      <c r="B13" s="55"/>
      <c r="C13" s="56"/>
      <c r="D13" s="57"/>
    </row>
    <row r="14" spans="1:4" x14ac:dyDescent="0.35">
      <c r="A14" s="63">
        <f t="shared" ref="A14:A43" si="0">A13+Increment</f>
        <v>2</v>
      </c>
      <c r="B14" s="124" cm="1">
        <f t="array" ref="B14">Pipeline_TotalCost</f>
        <v>520000000</v>
      </c>
      <c r="C14" s="4">
        <f>$B$9</f>
        <v>16833333.333333332</v>
      </c>
      <c r="D14" s="125">
        <f>B14-C14</f>
        <v>503166666.66666669</v>
      </c>
    </row>
    <row r="15" spans="1:4" x14ac:dyDescent="0.35">
      <c r="A15" s="63">
        <f t="shared" si="0"/>
        <v>3</v>
      </c>
      <c r="B15" s="124">
        <f>D14</f>
        <v>503166666.66666669</v>
      </c>
      <c r="C15" s="4">
        <f t="shared" ref="C15:C43" si="1">$B$9</f>
        <v>16833333.333333332</v>
      </c>
      <c r="D15" s="125">
        <f t="shared" ref="D15:D43" si="2">B15-C15</f>
        <v>486333333.33333337</v>
      </c>
    </row>
    <row r="16" spans="1:4" x14ac:dyDescent="0.35">
      <c r="A16" s="63">
        <f t="shared" si="0"/>
        <v>4</v>
      </c>
      <c r="B16" s="124">
        <f t="shared" ref="B16:B43" si="3">D15</f>
        <v>486333333.33333337</v>
      </c>
      <c r="C16" s="4">
        <f t="shared" si="1"/>
        <v>16833333.333333332</v>
      </c>
      <c r="D16" s="125">
        <f t="shared" si="2"/>
        <v>469500000.00000006</v>
      </c>
    </row>
    <row r="17" spans="1:4" x14ac:dyDescent="0.35">
      <c r="A17" s="63">
        <f t="shared" si="0"/>
        <v>5</v>
      </c>
      <c r="B17" s="124">
        <f t="shared" si="3"/>
        <v>469500000.00000006</v>
      </c>
      <c r="C17" s="4">
        <f t="shared" si="1"/>
        <v>16833333.333333332</v>
      </c>
      <c r="D17" s="125">
        <f t="shared" si="2"/>
        <v>452666666.66666675</v>
      </c>
    </row>
    <row r="18" spans="1:4" x14ac:dyDescent="0.35">
      <c r="A18" s="63">
        <f t="shared" si="0"/>
        <v>6</v>
      </c>
      <c r="B18" s="124">
        <f t="shared" si="3"/>
        <v>452666666.66666675</v>
      </c>
      <c r="C18" s="4">
        <f t="shared" si="1"/>
        <v>16833333.333333332</v>
      </c>
      <c r="D18" s="125">
        <f t="shared" si="2"/>
        <v>435833333.33333343</v>
      </c>
    </row>
    <row r="19" spans="1:4" x14ac:dyDescent="0.35">
      <c r="A19" s="63">
        <f t="shared" si="0"/>
        <v>7</v>
      </c>
      <c r="B19" s="124">
        <f t="shared" si="3"/>
        <v>435833333.33333343</v>
      </c>
      <c r="C19" s="4">
        <f t="shared" si="1"/>
        <v>16833333.333333332</v>
      </c>
      <c r="D19" s="125">
        <f t="shared" si="2"/>
        <v>419000000.00000012</v>
      </c>
    </row>
    <row r="20" spans="1:4" x14ac:dyDescent="0.35">
      <c r="A20" s="63">
        <f t="shared" si="0"/>
        <v>8</v>
      </c>
      <c r="B20" s="124">
        <f t="shared" si="3"/>
        <v>419000000.00000012</v>
      </c>
      <c r="C20" s="4">
        <f t="shared" si="1"/>
        <v>16833333.333333332</v>
      </c>
      <c r="D20" s="125">
        <f t="shared" si="2"/>
        <v>402166666.66666681</v>
      </c>
    </row>
    <row r="21" spans="1:4" x14ac:dyDescent="0.35">
      <c r="A21" s="63">
        <f t="shared" si="0"/>
        <v>9</v>
      </c>
      <c r="B21" s="124">
        <f t="shared" si="3"/>
        <v>402166666.66666681</v>
      </c>
      <c r="C21" s="4">
        <f t="shared" si="1"/>
        <v>16833333.333333332</v>
      </c>
      <c r="D21" s="125">
        <f t="shared" si="2"/>
        <v>385333333.33333349</v>
      </c>
    </row>
    <row r="22" spans="1:4" x14ac:dyDescent="0.35">
      <c r="A22" s="63">
        <f t="shared" si="0"/>
        <v>10</v>
      </c>
      <c r="B22" s="124">
        <f t="shared" si="3"/>
        <v>385333333.33333349</v>
      </c>
      <c r="C22" s="4">
        <f t="shared" si="1"/>
        <v>16833333.333333332</v>
      </c>
      <c r="D22" s="125">
        <f t="shared" si="2"/>
        <v>368500000.00000018</v>
      </c>
    </row>
    <row r="23" spans="1:4" x14ac:dyDescent="0.35">
      <c r="A23" s="63">
        <f t="shared" si="0"/>
        <v>11</v>
      </c>
      <c r="B23" s="124">
        <f t="shared" si="3"/>
        <v>368500000.00000018</v>
      </c>
      <c r="C23" s="4">
        <f t="shared" si="1"/>
        <v>16833333.333333332</v>
      </c>
      <c r="D23" s="125">
        <f t="shared" si="2"/>
        <v>351666666.66666687</v>
      </c>
    </row>
    <row r="24" spans="1:4" x14ac:dyDescent="0.35">
      <c r="A24" s="63">
        <f t="shared" si="0"/>
        <v>12</v>
      </c>
      <c r="B24" s="124">
        <f t="shared" si="3"/>
        <v>351666666.66666687</v>
      </c>
      <c r="C24" s="4">
        <f t="shared" si="1"/>
        <v>16833333.333333332</v>
      </c>
      <c r="D24" s="125">
        <f t="shared" si="2"/>
        <v>334833333.33333355</v>
      </c>
    </row>
    <row r="25" spans="1:4" x14ac:dyDescent="0.35">
      <c r="A25" s="63">
        <f t="shared" si="0"/>
        <v>13</v>
      </c>
      <c r="B25" s="124">
        <f t="shared" si="3"/>
        <v>334833333.33333355</v>
      </c>
      <c r="C25" s="4">
        <f t="shared" si="1"/>
        <v>16833333.333333332</v>
      </c>
      <c r="D25" s="125">
        <f t="shared" si="2"/>
        <v>318000000.00000024</v>
      </c>
    </row>
    <row r="26" spans="1:4" x14ac:dyDescent="0.35">
      <c r="A26" s="63">
        <f t="shared" si="0"/>
        <v>14</v>
      </c>
      <c r="B26" s="124">
        <f t="shared" si="3"/>
        <v>318000000.00000024</v>
      </c>
      <c r="C26" s="4">
        <f t="shared" si="1"/>
        <v>16833333.333333332</v>
      </c>
      <c r="D26" s="125">
        <f t="shared" si="2"/>
        <v>301166666.66666692</v>
      </c>
    </row>
    <row r="27" spans="1:4" x14ac:dyDescent="0.35">
      <c r="A27" s="63">
        <f t="shared" si="0"/>
        <v>15</v>
      </c>
      <c r="B27" s="124">
        <f t="shared" si="3"/>
        <v>301166666.66666692</v>
      </c>
      <c r="C27" s="4">
        <f t="shared" si="1"/>
        <v>16833333.333333332</v>
      </c>
      <c r="D27" s="125">
        <f t="shared" si="2"/>
        <v>284333333.33333361</v>
      </c>
    </row>
    <row r="28" spans="1:4" x14ac:dyDescent="0.35">
      <c r="A28" s="63">
        <f t="shared" si="0"/>
        <v>16</v>
      </c>
      <c r="B28" s="124">
        <f t="shared" si="3"/>
        <v>284333333.33333361</v>
      </c>
      <c r="C28" s="4">
        <f t="shared" si="1"/>
        <v>16833333.333333332</v>
      </c>
      <c r="D28" s="125">
        <f t="shared" si="2"/>
        <v>267500000.00000027</v>
      </c>
    </row>
    <row r="29" spans="1:4" x14ac:dyDescent="0.35">
      <c r="A29" s="63">
        <f t="shared" si="0"/>
        <v>17</v>
      </c>
      <c r="B29" s="124">
        <f t="shared" si="3"/>
        <v>267500000.00000027</v>
      </c>
      <c r="C29" s="4">
        <f t="shared" si="1"/>
        <v>16833333.333333332</v>
      </c>
      <c r="D29" s="125">
        <f t="shared" si="2"/>
        <v>250666666.66666692</v>
      </c>
    </row>
    <row r="30" spans="1:4" x14ac:dyDescent="0.35">
      <c r="A30" s="63">
        <f t="shared" si="0"/>
        <v>18</v>
      </c>
      <c r="B30" s="124">
        <f t="shared" si="3"/>
        <v>250666666.66666692</v>
      </c>
      <c r="C30" s="4">
        <f t="shared" si="1"/>
        <v>16833333.333333332</v>
      </c>
      <c r="D30" s="125">
        <f t="shared" si="2"/>
        <v>233833333.33333358</v>
      </c>
    </row>
    <row r="31" spans="1:4" x14ac:dyDescent="0.35">
      <c r="A31" s="63">
        <f t="shared" si="0"/>
        <v>19</v>
      </c>
      <c r="B31" s="124">
        <f t="shared" si="3"/>
        <v>233833333.33333358</v>
      </c>
      <c r="C31" s="4">
        <f t="shared" si="1"/>
        <v>16833333.333333332</v>
      </c>
      <c r="D31" s="125">
        <f t="shared" si="2"/>
        <v>217000000.00000024</v>
      </c>
    </row>
    <row r="32" spans="1:4" x14ac:dyDescent="0.35">
      <c r="A32" s="63">
        <f t="shared" si="0"/>
        <v>20</v>
      </c>
      <c r="B32" s="124">
        <f t="shared" si="3"/>
        <v>217000000.00000024</v>
      </c>
      <c r="C32" s="4">
        <f t="shared" si="1"/>
        <v>16833333.333333332</v>
      </c>
      <c r="D32" s="125">
        <f t="shared" si="2"/>
        <v>200166666.6666669</v>
      </c>
    </row>
    <row r="33" spans="1:9" x14ac:dyDescent="0.35">
      <c r="A33" s="63">
        <f t="shared" si="0"/>
        <v>21</v>
      </c>
      <c r="B33" s="124">
        <f t="shared" si="3"/>
        <v>200166666.6666669</v>
      </c>
      <c r="C33" s="4">
        <f t="shared" si="1"/>
        <v>16833333.333333332</v>
      </c>
      <c r="D33" s="125">
        <f t="shared" si="2"/>
        <v>183333333.33333355</v>
      </c>
    </row>
    <row r="34" spans="1:9" x14ac:dyDescent="0.35">
      <c r="A34" s="63">
        <f t="shared" si="0"/>
        <v>22</v>
      </c>
      <c r="B34" s="124">
        <f t="shared" si="3"/>
        <v>183333333.33333355</v>
      </c>
      <c r="C34" s="4">
        <f t="shared" si="1"/>
        <v>16833333.333333332</v>
      </c>
      <c r="D34" s="125">
        <f t="shared" si="2"/>
        <v>166500000.00000021</v>
      </c>
    </row>
    <row r="35" spans="1:9" x14ac:dyDescent="0.35">
      <c r="A35" s="63">
        <f t="shared" si="0"/>
        <v>23</v>
      </c>
      <c r="B35" s="124">
        <f t="shared" si="3"/>
        <v>166500000.00000021</v>
      </c>
      <c r="C35" s="4">
        <f t="shared" si="1"/>
        <v>16833333.333333332</v>
      </c>
      <c r="D35" s="125">
        <f t="shared" si="2"/>
        <v>149666666.66666687</v>
      </c>
    </row>
    <row r="36" spans="1:9" x14ac:dyDescent="0.35">
      <c r="A36" s="63">
        <f t="shared" si="0"/>
        <v>24</v>
      </c>
      <c r="B36" s="124">
        <f t="shared" si="3"/>
        <v>149666666.66666687</v>
      </c>
      <c r="C36" s="4">
        <f t="shared" si="1"/>
        <v>16833333.333333332</v>
      </c>
      <c r="D36" s="125">
        <f t="shared" si="2"/>
        <v>132833333.33333354</v>
      </c>
    </row>
    <row r="37" spans="1:9" x14ac:dyDescent="0.35">
      <c r="A37" s="63">
        <f t="shared" si="0"/>
        <v>25</v>
      </c>
      <c r="B37" s="124">
        <f t="shared" si="3"/>
        <v>132833333.33333354</v>
      </c>
      <c r="C37" s="4">
        <f t="shared" si="1"/>
        <v>16833333.333333332</v>
      </c>
      <c r="D37" s="125">
        <f t="shared" si="2"/>
        <v>116000000.00000021</v>
      </c>
    </row>
    <row r="38" spans="1:9" x14ac:dyDescent="0.35">
      <c r="A38" s="63">
        <f t="shared" si="0"/>
        <v>26</v>
      </c>
      <c r="B38" s="124">
        <f t="shared" si="3"/>
        <v>116000000.00000021</v>
      </c>
      <c r="C38" s="4">
        <f t="shared" si="1"/>
        <v>16833333.333333332</v>
      </c>
      <c r="D38" s="125">
        <f t="shared" si="2"/>
        <v>99166666.66666688</v>
      </c>
    </row>
    <row r="39" spans="1:9" x14ac:dyDescent="0.35">
      <c r="A39" s="63">
        <f t="shared" si="0"/>
        <v>27</v>
      </c>
      <c r="B39" s="124">
        <f t="shared" si="3"/>
        <v>99166666.66666688</v>
      </c>
      <c r="C39" s="4">
        <f t="shared" si="1"/>
        <v>16833333.333333332</v>
      </c>
      <c r="D39" s="125">
        <f t="shared" si="2"/>
        <v>82333333.333333552</v>
      </c>
    </row>
    <row r="40" spans="1:9" x14ac:dyDescent="0.35">
      <c r="A40" s="63">
        <f t="shared" si="0"/>
        <v>28</v>
      </c>
      <c r="B40" s="124">
        <f t="shared" si="3"/>
        <v>82333333.333333552</v>
      </c>
      <c r="C40" s="4">
        <f t="shared" si="1"/>
        <v>16833333.333333332</v>
      </c>
      <c r="D40" s="125">
        <f t="shared" si="2"/>
        <v>65500000.000000224</v>
      </c>
    </row>
    <row r="41" spans="1:9" x14ac:dyDescent="0.35">
      <c r="A41" s="63">
        <f t="shared" si="0"/>
        <v>29</v>
      </c>
      <c r="B41" s="124">
        <f t="shared" si="3"/>
        <v>65500000.000000224</v>
      </c>
      <c r="C41" s="4">
        <f t="shared" si="1"/>
        <v>16833333.333333332</v>
      </c>
      <c r="D41" s="125">
        <f t="shared" si="2"/>
        <v>48666666.666666895</v>
      </c>
    </row>
    <row r="42" spans="1:9" x14ac:dyDescent="0.35">
      <c r="A42" s="63">
        <f t="shared" si="0"/>
        <v>30</v>
      </c>
      <c r="B42" s="124">
        <f t="shared" si="3"/>
        <v>48666666.666666895</v>
      </c>
      <c r="C42" s="4">
        <f t="shared" si="1"/>
        <v>16833333.333333332</v>
      </c>
      <c r="D42" s="125">
        <f t="shared" si="2"/>
        <v>31833333.333333563</v>
      </c>
    </row>
    <row r="43" spans="1:9" x14ac:dyDescent="0.35">
      <c r="A43" s="96">
        <f t="shared" si="0"/>
        <v>31</v>
      </c>
      <c r="B43" s="126">
        <f t="shared" si="3"/>
        <v>31833333.333333563</v>
      </c>
      <c r="C43" s="127">
        <f t="shared" si="1"/>
        <v>16833333.333333332</v>
      </c>
      <c r="D43" s="128">
        <f t="shared" si="2"/>
        <v>15000000.000000231</v>
      </c>
    </row>
    <row r="44" spans="1:9" x14ac:dyDescent="0.35">
      <c r="A44" s="13"/>
      <c r="B44" s="7"/>
      <c r="C44" s="7"/>
      <c r="D44" s="7"/>
    </row>
    <row r="45" spans="1:9" x14ac:dyDescent="0.35">
      <c r="A45" s="13"/>
      <c r="B45" s="7"/>
      <c r="C45" s="7"/>
      <c r="D45" s="7"/>
    </row>
    <row r="46" spans="1:9" x14ac:dyDescent="0.35">
      <c r="A46" s="9" t="s">
        <v>112</v>
      </c>
      <c r="B46" s="7"/>
      <c r="C46" s="7"/>
      <c r="D46" s="7"/>
      <c r="F46" s="115" t="s">
        <v>113</v>
      </c>
    </row>
    <row r="47" spans="1:9" x14ac:dyDescent="0.35">
      <c r="A47" s="97" t="s">
        <v>108</v>
      </c>
      <c r="B47" s="98" t="s">
        <v>114</v>
      </c>
      <c r="C47" s="98" t="s">
        <v>115</v>
      </c>
      <c r="D47" s="97" t="s">
        <v>116</v>
      </c>
      <c r="F47" s="98" t="s">
        <v>108</v>
      </c>
      <c r="G47" s="98" t="s">
        <v>117</v>
      </c>
      <c r="H47" s="98" t="s">
        <v>118</v>
      </c>
      <c r="I47" s="97" t="s">
        <v>119</v>
      </c>
    </row>
    <row r="48" spans="1:9" x14ac:dyDescent="0.35">
      <c r="A48" s="92">
        <f>Increment</f>
        <v>1</v>
      </c>
      <c r="B48" s="166"/>
      <c r="C48" s="167"/>
      <c r="D48" s="168"/>
      <c r="F48" s="116">
        <f>Increment</f>
        <v>1</v>
      </c>
      <c r="G48" s="119"/>
      <c r="H48" s="119"/>
      <c r="I48" s="122"/>
    </row>
    <row r="49" spans="1:9" x14ac:dyDescent="0.35">
      <c r="A49" s="93">
        <f t="shared" ref="A49:A78" si="4">A48+Increment</f>
        <v>2</v>
      </c>
      <c r="B49" s="91" cm="1">
        <f t="array" ref="B49">Base_NG_Demand*(Increment+Demand_Increase)^(A49-First_Yr)</f>
        <v>17000000000</v>
      </c>
      <c r="C49" s="99" cm="1">
        <f t="array" ref="C49">Sell_price_NG*(Inflation_Annual+Increment)^(A49-First_Yr)</f>
        <v>5.1999999999999998E-2</v>
      </c>
      <c r="D49" s="109">
        <f>B49*C49</f>
        <v>884000000</v>
      </c>
      <c r="F49" s="117">
        <f t="shared" ref="F49:F78" si="5">F48+Increment</f>
        <v>2</v>
      </c>
      <c r="G49" s="4" cm="1">
        <f t="array" ref="G49">Base_NG_Demand*(Increment+Demand_Increase)^(A49-First_Yr)</f>
        <v>17000000000</v>
      </c>
      <c r="H49" s="120" cm="1">
        <f t="array" ref="H49">Purch_price_NG*(Inflation_Annual+Increment)^(F49-First_Yr)</f>
        <v>4.5999999999999999E-2</v>
      </c>
      <c r="I49" s="109">
        <f>G49*H49</f>
        <v>782000000</v>
      </c>
    </row>
    <row r="50" spans="1:9" x14ac:dyDescent="0.35">
      <c r="A50" s="93">
        <f t="shared" si="4"/>
        <v>3</v>
      </c>
      <c r="B50" s="91" cm="1">
        <f t="array" ref="B50">Base_NG_Demand*(Increment+Demand_Increase)^(A50-First_Yr)</f>
        <v>17084999999.999998</v>
      </c>
      <c r="C50" s="99" cm="1">
        <f t="array" ref="C50">Sell_price_NG*(Inflation_Annual+Increment)^(A50-First_Yr)</f>
        <v>5.2779999999999994E-2</v>
      </c>
      <c r="D50" s="109">
        <f t="shared" ref="D50:D78" si="6">B50*C50</f>
        <v>901746299.99999976</v>
      </c>
      <c r="F50" s="117">
        <f t="shared" si="5"/>
        <v>3</v>
      </c>
      <c r="G50" s="4" cm="1">
        <f t="array" ref="G50">Base_NG_Demand*(Increment+Demand_Increase)^(A50-First_Yr)</f>
        <v>17084999999.999998</v>
      </c>
      <c r="H50" s="120" cm="1">
        <f t="array" ref="H50">Purch_price_NG*(Inflation_Annual+Increment)^(F50-First_Yr)</f>
        <v>4.6689999999999995E-2</v>
      </c>
      <c r="I50" s="109">
        <f t="shared" ref="I50:I78" si="7">G50*H50</f>
        <v>797698649.99999988</v>
      </c>
    </row>
    <row r="51" spans="1:9" x14ac:dyDescent="0.35">
      <c r="A51" s="93">
        <f t="shared" si="4"/>
        <v>4</v>
      </c>
      <c r="B51" s="91" cm="1">
        <f t="array" ref="B51">Base_NG_Demand*(Increment+Demand_Increase)^(A51-First_Yr)</f>
        <v>17170424999.999996</v>
      </c>
      <c r="C51" s="99" cm="1">
        <f t="array" ref="C51">Sell_price_NG*(Inflation_Annual+Increment)^(A51-First_Yr)</f>
        <v>5.3571699999999986E-2</v>
      </c>
      <c r="D51" s="109">
        <f t="shared" si="6"/>
        <v>919848856.97249961</v>
      </c>
      <c r="F51" s="117">
        <f t="shared" si="5"/>
        <v>4</v>
      </c>
      <c r="G51" s="4" cm="1">
        <f t="array" ref="G51">Base_NG_Demand*(Increment+Demand_Increase)^(A51-First_Yr)</f>
        <v>17170424999.999996</v>
      </c>
      <c r="H51" s="120" cm="1">
        <f t="array" ref="H51">Purch_price_NG*(Inflation_Annual+Increment)^(F51-First_Yr)</f>
        <v>4.7390349999999984E-2</v>
      </c>
      <c r="I51" s="109">
        <f t="shared" si="7"/>
        <v>813712450.39874959</v>
      </c>
    </row>
    <row r="52" spans="1:9" x14ac:dyDescent="0.35">
      <c r="A52" s="93">
        <f t="shared" si="4"/>
        <v>5</v>
      </c>
      <c r="B52" s="91" cm="1">
        <f t="array" ref="B52">Base_NG_Demand*(Increment+Demand_Increase)^(A52-First_Yr)</f>
        <v>17256277124.999992</v>
      </c>
      <c r="C52" s="99" cm="1">
        <f t="array" ref="C52">Sell_price_NG*(Inflation_Annual+Increment)^(A52-First_Yr)</f>
        <v>5.437527549999998E-2</v>
      </c>
      <c r="D52" s="109">
        <f t="shared" si="6"/>
        <v>938314822.77622223</v>
      </c>
      <c r="F52" s="117">
        <f t="shared" si="5"/>
        <v>5</v>
      </c>
      <c r="G52" s="4" cm="1">
        <f t="array" ref="G52">Base_NG_Demand*(Increment+Demand_Increase)^(A52-First_Yr)</f>
        <v>17256277124.999992</v>
      </c>
      <c r="H52" s="120" cm="1">
        <f t="array" ref="H52">Purch_price_NG*(Inflation_Annual+Increment)^(F52-First_Yr)</f>
        <v>4.810120524999998E-2</v>
      </c>
      <c r="I52" s="109">
        <f t="shared" si="7"/>
        <v>830047727.84050417</v>
      </c>
    </row>
    <row r="53" spans="1:9" x14ac:dyDescent="0.35">
      <c r="A53" s="93">
        <f t="shared" si="4"/>
        <v>6</v>
      </c>
      <c r="B53" s="91" cm="1">
        <f t="array" ref="B53">Base_NG_Demand*(Increment+Demand_Increase)^(A53-First_Yr)</f>
        <v>17342558510.624989</v>
      </c>
      <c r="C53" s="99" cm="1">
        <f t="array" ref="C53">Sell_price_NG*(Inflation_Annual+Increment)^(A53-First_Yr)</f>
        <v>5.5190904632499968E-2</v>
      </c>
      <c r="D53" s="109">
        <f t="shared" si="6"/>
        <v>957151492.84345448</v>
      </c>
      <c r="F53" s="117">
        <f t="shared" si="5"/>
        <v>6</v>
      </c>
      <c r="G53" s="4" cm="1">
        <f t="array" ref="G53">Base_NG_Demand*(Increment+Demand_Increase)^(A53-First_Yr)</f>
        <v>17342558510.624989</v>
      </c>
      <c r="H53" s="120" cm="1">
        <f t="array" ref="H53">Purch_price_NG*(Inflation_Annual+Increment)^(F53-First_Yr)</f>
        <v>4.882272332874997E-2</v>
      </c>
      <c r="I53" s="109">
        <f t="shared" si="7"/>
        <v>846710935.97690201</v>
      </c>
    </row>
    <row r="54" spans="1:9" x14ac:dyDescent="0.35">
      <c r="A54" s="93">
        <f t="shared" si="4"/>
        <v>7</v>
      </c>
      <c r="B54" s="91" cm="1">
        <f t="array" ref="B54">Base_NG_Demand*(Increment+Demand_Increase)^(A54-First_Yr)</f>
        <v>17429271303.178112</v>
      </c>
      <c r="C54" s="99" cm="1">
        <f t="array" ref="C54">Sell_price_NG*(Inflation_Annual+Increment)^(A54-First_Yr)</f>
        <v>5.6018768201987458E-2</v>
      </c>
      <c r="D54" s="109">
        <f t="shared" si="6"/>
        <v>976366309.0622865</v>
      </c>
      <c r="F54" s="117">
        <f t="shared" si="5"/>
        <v>7</v>
      </c>
      <c r="G54" s="4" cm="1">
        <f t="array" ref="G54">Base_NG_Demand*(Increment+Demand_Increase)^(A54-First_Yr)</f>
        <v>17429271303.178112</v>
      </c>
      <c r="H54" s="120" cm="1">
        <f t="array" ref="H54">Purch_price_NG*(Inflation_Annual+Increment)^(F54-First_Yr)</f>
        <v>4.9555064178681218E-2</v>
      </c>
      <c r="I54" s="109">
        <f t="shared" si="7"/>
        <v>863708658.01663816</v>
      </c>
    </row>
    <row r="55" spans="1:9" x14ac:dyDescent="0.35">
      <c r="A55" s="93">
        <f t="shared" si="4"/>
        <v>8</v>
      </c>
      <c r="B55" s="91" cm="1">
        <f t="array" ref="B55">Base_NG_Demand*(Increment+Demand_Increase)^(A55-First_Yr)</f>
        <v>17516417659.693996</v>
      </c>
      <c r="C55" s="99" cm="1">
        <f t="array" ref="C55">Sell_price_NG*(Inflation_Annual+Increment)^(A55-First_Yr)</f>
        <v>5.6859049725017263E-2</v>
      </c>
      <c r="D55" s="109">
        <f t="shared" si="6"/>
        <v>995966862.71671152</v>
      </c>
      <c r="F55" s="117">
        <f t="shared" si="5"/>
        <v>8</v>
      </c>
      <c r="G55" s="4" cm="1">
        <f t="array" ref="G55">Base_NG_Demand*(Increment+Demand_Increase)^(A55-First_Yr)</f>
        <v>17516417659.693996</v>
      </c>
      <c r="H55" s="120" cm="1">
        <f t="array" ref="H55">Purch_price_NG*(Inflation_Annual+Increment)^(F55-First_Yr)</f>
        <v>5.0298390141361428E-2</v>
      </c>
      <c r="I55" s="109">
        <f t="shared" si="7"/>
        <v>881047609.32632172</v>
      </c>
    </row>
    <row r="56" spans="1:9" x14ac:dyDescent="0.35">
      <c r="A56" s="93">
        <f t="shared" si="4"/>
        <v>9</v>
      </c>
      <c r="B56" s="91" cm="1">
        <f t="array" ref="B56">Base_NG_Demand*(Increment+Demand_Increase)^(A56-First_Yr)</f>
        <v>17603999747.992466</v>
      </c>
      <c r="C56" s="99" cm="1">
        <f t="array" ref="C56">Sell_price_NG*(Inflation_Annual+Increment)^(A56-First_Yr)</f>
        <v>5.7711935470892511E-2</v>
      </c>
      <c r="D56" s="109">
        <f t="shared" si="6"/>
        <v>1015960897.4857492</v>
      </c>
      <c r="F56" s="117">
        <f t="shared" si="5"/>
        <v>9</v>
      </c>
      <c r="G56" s="4" cm="1">
        <f t="array" ref="G56">Base_NG_Demand*(Increment+Demand_Increase)^(A56-First_Yr)</f>
        <v>17603999747.992466</v>
      </c>
      <c r="H56" s="120" cm="1">
        <f t="array" ref="H56">Purch_price_NG*(Inflation_Annual+Increment)^(F56-First_Yr)</f>
        <v>5.1052865993481841E-2</v>
      </c>
      <c r="I56" s="109">
        <f t="shared" si="7"/>
        <v>898734640.08354747</v>
      </c>
    </row>
    <row r="57" spans="1:9" x14ac:dyDescent="0.35">
      <c r="A57" s="93">
        <f t="shared" si="4"/>
        <v>10</v>
      </c>
      <c r="B57" s="91" cm="1">
        <f t="array" ref="B57">Base_NG_Demand*(Increment+Demand_Increase)^(A57-First_Yr)</f>
        <v>17692019746.732426</v>
      </c>
      <c r="C57" s="99" cm="1">
        <f t="array" ref="C57">Sell_price_NG*(Inflation_Annual+Increment)^(A57-First_Yr)</f>
        <v>5.8577614502955892E-2</v>
      </c>
      <c r="D57" s="109">
        <f t="shared" si="6"/>
        <v>1036356312.5027754</v>
      </c>
      <c r="F57" s="117">
        <f t="shared" si="5"/>
        <v>10</v>
      </c>
      <c r="G57" s="4" cm="1">
        <f t="array" ref="G57">Base_NG_Demand*(Increment+Demand_Increase)^(A57-First_Yr)</f>
        <v>17692019746.732426</v>
      </c>
      <c r="H57" s="120" cm="1">
        <f t="array" ref="H57">Purch_price_NG*(Inflation_Annual+Increment)^(F57-First_Yr)</f>
        <v>5.1818658983384065E-2</v>
      </c>
      <c r="I57" s="109">
        <f t="shared" si="7"/>
        <v>916776737.98322451</v>
      </c>
    </row>
    <row r="58" spans="1:9" x14ac:dyDescent="0.35">
      <c r="A58" s="93">
        <f t="shared" si="4"/>
        <v>11</v>
      </c>
      <c r="B58" s="91" cm="1">
        <f t="array" ref="B58">Base_NG_Demand*(Increment+Demand_Increase)^(A58-First_Yr)</f>
        <v>17780479845.466087</v>
      </c>
      <c r="C58" s="99" cm="1">
        <f t="array" ref="C58">Sell_price_NG*(Inflation_Annual+Increment)^(A58-First_Yr)</f>
        <v>5.9456278720500223E-2</v>
      </c>
      <c r="D58" s="109">
        <f t="shared" si="6"/>
        <v>1057161165.4762684</v>
      </c>
      <c r="F58" s="117">
        <f t="shared" si="5"/>
        <v>11</v>
      </c>
      <c r="G58" s="4" cm="1">
        <f t="array" ref="G58">Base_NG_Demand*(Increment+Demand_Increase)^(A58-First_Yr)</f>
        <v>17780479845.466087</v>
      </c>
      <c r="H58" s="120" cm="1">
        <f t="array" ref="H58">Purch_price_NG*(Inflation_Annual+Increment)^(F58-First_Yr)</f>
        <v>5.2595938868134816E-2</v>
      </c>
      <c r="I58" s="109">
        <f t="shared" si="7"/>
        <v>935181030.99823749</v>
      </c>
    </row>
    <row r="59" spans="1:9" x14ac:dyDescent="0.35">
      <c r="A59" s="93">
        <f t="shared" si="4"/>
        <v>12</v>
      </c>
      <c r="B59" s="91" cm="1">
        <f t="array" ref="B59">Base_NG_Demand*(Increment+Demand_Increase)^(A59-First_Yr)</f>
        <v>17869382244.693417</v>
      </c>
      <c r="C59" s="99" cm="1">
        <f t="array" ref="C59">Sell_price_NG*(Inflation_Annual+Increment)^(A59-First_Yr)</f>
        <v>6.034812290130772E-2</v>
      </c>
      <c r="D59" s="109">
        <f t="shared" si="6"/>
        <v>1078383675.8732042</v>
      </c>
      <c r="F59" s="117">
        <f t="shared" si="5"/>
        <v>12</v>
      </c>
      <c r="G59" s="4" cm="1">
        <f t="array" ref="G59">Base_NG_Demand*(Increment+Demand_Increase)^(A59-First_Yr)</f>
        <v>17869382244.693417</v>
      </c>
      <c r="H59" s="120" cm="1">
        <f t="array" ref="H59">Purch_price_NG*(Inflation_Annual+Increment)^(F59-First_Yr)</f>
        <v>5.3384877951156831E-2</v>
      </c>
      <c r="I59" s="109">
        <f t="shared" si="7"/>
        <v>953954790.19552696</v>
      </c>
    </row>
    <row r="60" spans="1:9" x14ac:dyDescent="0.35">
      <c r="A60" s="93">
        <f t="shared" si="4"/>
        <v>13</v>
      </c>
      <c r="B60" s="91" cm="1">
        <f t="array" ref="B60">Base_NG_Demand*(Increment+Demand_Increase)^(A60-First_Yr)</f>
        <v>17958729155.916882</v>
      </c>
      <c r="C60" s="99" cm="1">
        <f t="array" ref="C60">Sell_price_NG*(Inflation_Annual+Increment)^(A60-First_Yr)</f>
        <v>6.1253344744827333E-2</v>
      </c>
      <c r="D60" s="109">
        <f t="shared" si="6"/>
        <v>1100032228.1663587</v>
      </c>
      <c r="F60" s="117">
        <f t="shared" si="5"/>
        <v>13</v>
      </c>
      <c r="G60" s="4" cm="1">
        <f t="array" ref="G60">Base_NG_Demand*(Increment+Demand_Increase)^(A60-First_Yr)</f>
        <v>17958729155.916882</v>
      </c>
      <c r="H60" s="120" cm="1">
        <f t="array" ref="H60">Purch_price_NG*(Inflation_Annual+Increment)^(F60-First_Yr)</f>
        <v>5.4185651120424179E-2</v>
      </c>
      <c r="I60" s="109">
        <f t="shared" si="7"/>
        <v>973105432.60870194</v>
      </c>
    </row>
    <row r="61" spans="1:9" x14ac:dyDescent="0.35">
      <c r="A61" s="93">
        <f t="shared" si="4"/>
        <v>14</v>
      </c>
      <c r="B61" s="91" cm="1">
        <f t="array" ref="B61">Base_NG_Demand*(Increment+Demand_Increase)^(A61-First_Yr)</f>
        <v>18048522801.696461</v>
      </c>
      <c r="C61" s="99" cm="1">
        <f t="array" ref="C61">Sell_price_NG*(Inflation_Annual+Increment)^(A61-First_Yr)</f>
        <v>6.2172144915999726E-2</v>
      </c>
      <c r="D61" s="109">
        <f t="shared" si="6"/>
        <v>1122115375.1467977</v>
      </c>
      <c r="F61" s="117">
        <f t="shared" si="5"/>
        <v>14</v>
      </c>
      <c r="G61" s="4" cm="1">
        <f t="array" ref="G61">Base_NG_Demand*(Increment+Demand_Increase)^(A61-First_Yr)</f>
        <v>18048522801.696461</v>
      </c>
      <c r="H61" s="120" cm="1">
        <f t="array" ref="H61">Purch_price_NG*(Inflation_Annual+Increment)^(F61-First_Yr)</f>
        <v>5.499843588723053E-2</v>
      </c>
      <c r="I61" s="109">
        <f t="shared" si="7"/>
        <v>992640524.16832113</v>
      </c>
    </row>
    <row r="62" spans="1:9" x14ac:dyDescent="0.35">
      <c r="A62" s="93">
        <f t="shared" si="4"/>
        <v>15</v>
      </c>
      <c r="B62" s="91" cm="1">
        <f t="array" ref="B62">Base_NG_Demand*(Increment+Demand_Increase)^(A62-First_Yr)</f>
        <v>18138765415.704941</v>
      </c>
      <c r="C62" s="99" cm="1">
        <f t="array" ref="C62">Sell_price_NG*(Inflation_Annual+Increment)^(A62-First_Yr)</f>
        <v>6.3104727089739715E-2</v>
      </c>
      <c r="D62" s="109">
        <f t="shared" si="6"/>
        <v>1144641841.3028696</v>
      </c>
      <c r="F62" s="117">
        <f t="shared" si="5"/>
        <v>15</v>
      </c>
      <c r="G62" s="4" cm="1">
        <f t="array" ref="G62">Base_NG_Demand*(Increment+Demand_Increase)^(A62-First_Yr)</f>
        <v>18138765415.704941</v>
      </c>
      <c r="H62" s="120" cm="1">
        <f t="array" ref="H62">Purch_price_NG*(Inflation_Annual+Increment)^(F62-First_Yr)</f>
        <v>5.5823412425538982E-2</v>
      </c>
      <c r="I62" s="109">
        <f t="shared" si="7"/>
        <v>1012567782.691</v>
      </c>
    </row>
    <row r="63" spans="1:9" x14ac:dyDescent="0.35">
      <c r="A63" s="93">
        <f t="shared" si="4"/>
        <v>16</v>
      </c>
      <c r="B63" s="91" cm="1">
        <f t="array" ref="B63">Base_NG_Demand*(Increment+Demand_Increase)^(A63-First_Yr)</f>
        <v>18229459242.783463</v>
      </c>
      <c r="C63" s="99" cm="1">
        <f t="array" ref="C63">Sell_price_NG*(Inflation_Annual+Increment)^(A63-First_Yr)</f>
        <v>6.4051297996085804E-2</v>
      </c>
      <c r="D63" s="109">
        <f t="shared" si="6"/>
        <v>1167620526.2670243</v>
      </c>
      <c r="F63" s="117">
        <f t="shared" si="5"/>
        <v>16</v>
      </c>
      <c r="G63" s="4" cm="1">
        <f t="array" ref="G63">Base_NG_Demand*(Increment+Demand_Increase)^(A63-First_Yr)</f>
        <v>18229459242.783463</v>
      </c>
      <c r="H63" s="120" cm="1">
        <f t="array" ref="H63">Purch_price_NG*(Inflation_Annual+Increment)^(F63-First_Yr)</f>
        <v>5.6660763611922051E-2</v>
      </c>
      <c r="I63" s="109">
        <f t="shared" si="7"/>
        <v>1032895080.9285213</v>
      </c>
    </row>
    <row r="64" spans="1:9" x14ac:dyDescent="0.35">
      <c r="A64" s="93">
        <f t="shared" si="4"/>
        <v>17</v>
      </c>
      <c r="B64" s="91" cm="1">
        <f t="array" ref="B64">Base_NG_Demand*(Increment+Demand_Increase)^(A64-First_Yr)</f>
        <v>18320606538.997375</v>
      </c>
      <c r="C64" s="99" cm="1">
        <f t="array" ref="C64">Sell_price_NG*(Inflation_Annual+Increment)^(A64-First_Yr)</f>
        <v>6.5012067466027071E-2</v>
      </c>
      <c r="D64" s="109">
        <f t="shared" si="6"/>
        <v>1191060508.3318341</v>
      </c>
      <c r="F64" s="117">
        <f t="shared" si="5"/>
        <v>17</v>
      </c>
      <c r="G64" s="4" cm="1">
        <f t="array" ref="G64">Base_NG_Demand*(Increment+Demand_Increase)^(A64-First_Yr)</f>
        <v>18320606538.997375</v>
      </c>
      <c r="H64" s="120" cm="1">
        <f t="array" ref="H64">Purch_price_NG*(Inflation_Annual+Increment)^(F64-First_Yr)</f>
        <v>5.7510675066100879E-2</v>
      </c>
      <c r="I64" s="109">
        <f t="shared" si="7"/>
        <v>1053630449.678161</v>
      </c>
    </row>
    <row r="65" spans="1:9" x14ac:dyDescent="0.35">
      <c r="A65" s="93">
        <f t="shared" si="4"/>
        <v>18</v>
      </c>
      <c r="B65" s="91" cm="1">
        <f t="array" ref="B65">Base_NG_Demand*(Increment+Demand_Increase)^(A65-First_Yr)</f>
        <v>18412209571.69236</v>
      </c>
      <c r="C65" s="99" cm="1">
        <f t="array" ref="C65">Sell_price_NG*(Inflation_Annual+Increment)^(A65-First_Yr)</f>
        <v>6.5987248478017471E-2</v>
      </c>
      <c r="D65" s="109">
        <f t="shared" si="6"/>
        <v>1214971048.0365953</v>
      </c>
      <c r="F65" s="117">
        <f t="shared" si="5"/>
        <v>18</v>
      </c>
      <c r="G65" s="4" cm="1">
        <f t="array" ref="G65">Base_NG_Demand*(Increment+Demand_Increase)^(A65-First_Yr)</f>
        <v>18412209571.69236</v>
      </c>
      <c r="H65" s="120" cm="1">
        <f t="array" ref="H65">Purch_price_NG*(Inflation_Annual+Increment)^(F65-First_Yr)</f>
        <v>5.8373335192092382E-2</v>
      </c>
      <c r="I65" s="109">
        <f t="shared" si="7"/>
        <v>1074782080.9554498</v>
      </c>
    </row>
    <row r="66" spans="1:9" x14ac:dyDescent="0.35">
      <c r="A66" s="93">
        <f t="shared" si="4"/>
        <v>19</v>
      </c>
      <c r="B66" s="91" cm="1">
        <f t="array" ref="B66">Base_NG_Demand*(Increment+Demand_Increase)^(A66-First_Yr)</f>
        <v>18504270619.550819</v>
      </c>
      <c r="C66" s="99" cm="1">
        <f t="array" ref="C66">Sell_price_NG*(Inflation_Annual+Increment)^(A66-First_Yr)</f>
        <v>6.6977057205187721E-2</v>
      </c>
      <c r="D66" s="109">
        <f t="shared" si="6"/>
        <v>1239361591.8259296</v>
      </c>
      <c r="F66" s="117">
        <f t="shared" si="5"/>
        <v>19</v>
      </c>
      <c r="G66" s="4" cm="1">
        <f t="array" ref="G66">Base_NG_Demand*(Increment+Demand_Increase)^(A66-First_Yr)</f>
        <v>18504270619.550819</v>
      </c>
      <c r="H66" s="120" cm="1">
        <f t="array" ref="H66">Purch_price_NG*(Inflation_Annual+Increment)^(F66-First_Yr)</f>
        <v>5.9248935219973757E-2</v>
      </c>
      <c r="I66" s="109">
        <f t="shared" si="7"/>
        <v>1096358331.2306302</v>
      </c>
    </row>
    <row r="67" spans="1:9" x14ac:dyDescent="0.35">
      <c r="A67" s="93">
        <f t="shared" si="4"/>
        <v>20</v>
      </c>
      <c r="B67" s="91" cm="1">
        <f t="array" ref="B67">Base_NG_Demand*(Increment+Demand_Increase)^(A67-First_Yr)</f>
        <v>18596791972.648567</v>
      </c>
      <c r="C67" s="99" cm="1">
        <f t="array" ref="C67">Sell_price_NG*(Inflation_Annual+Increment)^(A67-First_Yr)</f>
        <v>6.7981713063265545E-2</v>
      </c>
      <c r="D67" s="109">
        <f t="shared" si="6"/>
        <v>1264241775.7818348</v>
      </c>
      <c r="F67" s="117">
        <f t="shared" si="5"/>
        <v>20</v>
      </c>
      <c r="G67" s="4" cm="1">
        <f t="array" ref="G67">Base_NG_Demand*(Increment+Demand_Increase)^(A67-First_Yr)</f>
        <v>18596791972.648567</v>
      </c>
      <c r="H67" s="120" cm="1">
        <f t="array" ref="H67">Purch_price_NG*(Inflation_Annual+Increment)^(F67-First_Yr)</f>
        <v>6.0137669248273365E-2</v>
      </c>
      <c r="I67" s="109">
        <f t="shared" si="7"/>
        <v>1118367724.7300847</v>
      </c>
    </row>
    <row r="68" spans="1:9" x14ac:dyDescent="0.35">
      <c r="A68" s="93">
        <f t="shared" si="4"/>
        <v>21</v>
      </c>
      <c r="B68" s="91" cm="1">
        <f t="array" ref="B68">Base_NG_Demand*(Increment+Demand_Increase)^(A68-First_Yr)</f>
        <v>18689775932.51181</v>
      </c>
      <c r="C68" s="99" cm="1">
        <f t="array" ref="C68">Sell_price_NG*(Inflation_Annual+Increment)^(A68-First_Yr)</f>
        <v>6.9001438759214509E-2</v>
      </c>
      <c r="D68" s="109">
        <f t="shared" si="6"/>
        <v>1289621429.430655</v>
      </c>
      <c r="F68" s="117">
        <f t="shared" si="5"/>
        <v>21</v>
      </c>
      <c r="G68" s="4" cm="1">
        <f t="array" ref="G68">Base_NG_Demand*(Increment+Demand_Increase)^(A68-First_Yr)</f>
        <v>18689775932.51181</v>
      </c>
      <c r="H68" s="120" cm="1">
        <f t="array" ref="H68">Purch_price_NG*(Inflation_Annual+Increment)^(F68-First_Yr)</f>
        <v>6.1039734286997459E-2</v>
      </c>
      <c r="I68" s="109">
        <f t="shared" si="7"/>
        <v>1140818956.8040411</v>
      </c>
    </row>
    <row r="69" spans="1:9" x14ac:dyDescent="0.35">
      <c r="A69" s="93">
        <f t="shared" si="4"/>
        <v>22</v>
      </c>
      <c r="B69" s="91" cm="1">
        <f t="array" ref="B69">Base_NG_Demand*(Increment+Demand_Increase)^(A69-First_Yr)</f>
        <v>18783224812.174366</v>
      </c>
      <c r="C69" s="99" cm="1">
        <f t="array" ref="C69">Sell_price_NG*(Inflation_Annual+Increment)^(A69-First_Yr)</f>
        <v>7.0036460340602708E-2</v>
      </c>
      <c r="D69" s="109">
        <f t="shared" si="6"/>
        <v>1315510579.6264746</v>
      </c>
      <c r="F69" s="117">
        <f t="shared" si="5"/>
        <v>22</v>
      </c>
      <c r="G69" s="4" cm="1">
        <f t="array" ref="G69">Base_NG_Demand*(Increment+Demand_Increase)^(A69-First_Yr)</f>
        <v>18783224812.174366</v>
      </c>
      <c r="H69" s="120" cm="1">
        <f t="array" ref="H69">Purch_price_NG*(Inflation_Annual+Increment)^(F69-First_Yr)</f>
        <v>6.1955330301302403E-2</v>
      </c>
      <c r="I69" s="109">
        <f t="shared" si="7"/>
        <v>1163720897.3618817</v>
      </c>
    </row>
    <row r="70" spans="1:9" x14ac:dyDescent="0.35">
      <c r="A70" s="93">
        <f t="shared" si="4"/>
        <v>23</v>
      </c>
      <c r="B70" s="91" cm="1">
        <f t="array" ref="B70">Base_NG_Demand*(Increment+Demand_Increase)^(A70-First_Yr)</f>
        <v>18877140936.235233</v>
      </c>
      <c r="C70" s="99" cm="1">
        <f t="array" ref="C70">Sell_price_NG*(Inflation_Annual+Increment)^(A70-First_Yr)</f>
        <v>7.108700724571175E-2</v>
      </c>
      <c r="D70" s="109">
        <f t="shared" si="6"/>
        <v>1341919454.512476</v>
      </c>
      <c r="F70" s="117">
        <f t="shared" si="5"/>
        <v>23</v>
      </c>
      <c r="G70" s="4" cm="1">
        <f t="array" ref="G70">Base_NG_Demand*(Increment+Demand_Increase)^(A70-First_Yr)</f>
        <v>18877140936.235233</v>
      </c>
      <c r="H70" s="120" cm="1">
        <f t="array" ref="H70">Purch_price_NG*(Inflation_Annual+Increment)^(F70-First_Yr)</f>
        <v>6.2884660255821928E-2</v>
      </c>
      <c r="I70" s="109">
        <f t="shared" si="7"/>
        <v>1187082594.376421</v>
      </c>
    </row>
    <row r="71" spans="1:9" x14ac:dyDescent="0.35">
      <c r="A71" s="93">
        <f t="shared" si="4"/>
        <v>24</v>
      </c>
      <c r="B71" s="91" cm="1">
        <f t="array" ref="B71">Base_NG_Demand*(Increment+Demand_Increase)^(A71-First_Yr)</f>
        <v>18971526640.916409</v>
      </c>
      <c r="C71" s="99" cm="1">
        <f t="array" ref="C71">Sell_price_NG*(Inflation_Annual+Increment)^(A71-First_Yr)</f>
        <v>7.2153312354397411E-2</v>
      </c>
      <c r="D71" s="109">
        <f t="shared" si="6"/>
        <v>1368858487.5618136</v>
      </c>
      <c r="F71" s="117">
        <f t="shared" si="5"/>
        <v>24</v>
      </c>
      <c r="G71" s="4" cm="1">
        <f t="array" ref="G71">Base_NG_Demand*(Increment+Demand_Increase)^(A71-First_Yr)</f>
        <v>18971526640.916409</v>
      </c>
      <c r="H71" s="120" cm="1">
        <f t="array" ref="H71">Purch_price_NG*(Inflation_Annual+Increment)^(F71-First_Yr)</f>
        <v>6.3827930159659249E-2</v>
      </c>
      <c r="I71" s="109">
        <f t="shared" si="7"/>
        <v>1210913277.4585273</v>
      </c>
    </row>
    <row r="72" spans="1:9" x14ac:dyDescent="0.35">
      <c r="A72" s="93">
        <f t="shared" si="4"/>
        <v>25</v>
      </c>
      <c r="B72" s="91" cm="1">
        <f t="array" ref="B72">Base_NG_Demand*(Increment+Demand_Increase)^(A72-First_Yr)</f>
        <v>19066384274.120987</v>
      </c>
      <c r="C72" s="99" cm="1">
        <f t="array" ref="C72">Sell_price_NG*(Inflation_Annual+Increment)^(A72-First_Yr)</f>
        <v>7.3235612039713363E-2</v>
      </c>
      <c r="D72" s="109">
        <f t="shared" si="6"/>
        <v>1396338321.6996164</v>
      </c>
      <c r="F72" s="117">
        <f t="shared" si="5"/>
        <v>25</v>
      </c>
      <c r="G72" s="4" cm="1">
        <f t="array" ref="G72">Base_NG_Demand*(Increment+Demand_Increase)^(A72-First_Yr)</f>
        <v>19066384274.120987</v>
      </c>
      <c r="H72" s="120" cm="1">
        <f t="array" ref="H72">Purch_price_NG*(Inflation_Annual+Increment)^(F72-First_Yr)</f>
        <v>6.4785349112054136E-2</v>
      </c>
      <c r="I72" s="109">
        <f t="shared" si="7"/>
        <v>1235222361.5035071</v>
      </c>
    </row>
    <row r="73" spans="1:9" x14ac:dyDescent="0.35">
      <c r="A73" s="93">
        <f t="shared" si="4"/>
        <v>26</v>
      </c>
      <c r="B73" s="91" cm="1">
        <f t="array" ref="B73">Base_NG_Demand*(Increment+Demand_Increase)^(A73-First_Yr)</f>
        <v>19161716195.491592</v>
      </c>
      <c r="C73" s="99" cm="1">
        <f t="array" ref="C73">Sell_price_NG*(Inflation_Annual+Increment)^(A73-First_Yr)</f>
        <v>7.4334146220309052E-2</v>
      </c>
      <c r="D73" s="109">
        <f t="shared" si="6"/>
        <v>1424369813.5077362</v>
      </c>
      <c r="F73" s="117">
        <f t="shared" si="5"/>
        <v>26</v>
      </c>
      <c r="G73" s="4" cm="1">
        <f t="array" ref="G73">Base_NG_Demand*(Increment+Demand_Increase)^(A73-First_Yr)</f>
        <v>19161716195.491592</v>
      </c>
      <c r="H73" s="120" cm="1">
        <f t="array" ref="H73">Purch_price_NG*(Inflation_Annual+Increment)^(F73-First_Yr)</f>
        <v>6.5757129348734927E-2</v>
      </c>
      <c r="I73" s="109">
        <f t="shared" si="7"/>
        <v>1260019450.4106896</v>
      </c>
    </row>
    <row r="74" spans="1:9" x14ac:dyDescent="0.35">
      <c r="A74" s="93">
        <f t="shared" si="4"/>
        <v>27</v>
      </c>
      <c r="B74" s="91" cm="1">
        <f t="array" ref="B74">Base_NG_Demand*(Increment+Demand_Increase)^(A74-First_Yr)</f>
        <v>19257524776.469048</v>
      </c>
      <c r="C74" s="99" cm="1">
        <f t="array" ref="C74">Sell_price_NG*(Inflation_Annual+Increment)^(A74-First_Yr)</f>
        <v>7.5449158413613687E-2</v>
      </c>
      <c r="D74" s="109">
        <f t="shared" si="6"/>
        <v>1452964037.5139036</v>
      </c>
      <c r="F74" s="117">
        <f t="shared" si="5"/>
        <v>27</v>
      </c>
      <c r="G74" s="4" cm="1">
        <f t="array" ref="G74">Base_NG_Demand*(Increment+Demand_Increase)^(A74-First_Yr)</f>
        <v>19257524776.469048</v>
      </c>
      <c r="H74" s="120" cm="1">
        <f t="array" ref="H74">Purch_price_NG*(Inflation_Annual+Increment)^(F74-First_Yr)</f>
        <v>6.6743486288965953E-2</v>
      </c>
      <c r="I74" s="109">
        <f t="shared" si="7"/>
        <v>1285314340.8776841</v>
      </c>
    </row>
    <row r="75" spans="1:9" x14ac:dyDescent="0.35">
      <c r="A75" s="93">
        <f t="shared" si="4"/>
        <v>28</v>
      </c>
      <c r="B75" s="91" cm="1">
        <f t="array" ref="B75">Base_NG_Demand*(Increment+Demand_Increase)^(A75-First_Yr)</f>
        <v>19353812400.351391</v>
      </c>
      <c r="C75" s="99" cm="1">
        <f t="array" ref="C75">Sell_price_NG*(Inflation_Annual+Increment)^(A75-First_Yr)</f>
        <v>7.6580895789817874E-2</v>
      </c>
      <c r="D75" s="109">
        <f t="shared" si="6"/>
        <v>1482132290.5669947</v>
      </c>
      <c r="F75" s="117">
        <f t="shared" si="5"/>
        <v>28</v>
      </c>
      <c r="G75" s="4" cm="1">
        <f t="array" ref="G75">Base_NG_Demand*(Increment+Demand_Increase)^(A75-First_Yr)</f>
        <v>19353812400.351391</v>
      </c>
      <c r="H75" s="120" cm="1">
        <f t="array" ref="H75">Purch_price_NG*(Inflation_Annual+Increment)^(F75-First_Yr)</f>
        <v>6.7744638583300432E-2</v>
      </c>
      <c r="I75" s="109">
        <f t="shared" si="7"/>
        <v>1311117026.2708032</v>
      </c>
    </row>
    <row r="76" spans="1:9" x14ac:dyDescent="0.35">
      <c r="A76" s="93">
        <f t="shared" si="4"/>
        <v>29</v>
      </c>
      <c r="B76" s="91" cm="1">
        <f t="array" ref="B76">Base_NG_Demand*(Increment+Demand_Increase)^(A76-First_Yr)</f>
        <v>19450581462.353142</v>
      </c>
      <c r="C76" s="99" cm="1">
        <f t="array" ref="C76">Sell_price_NG*(Inflation_Annual+Increment)^(A76-First_Yr)</f>
        <v>7.7729609226665136E-2</v>
      </c>
      <c r="D76" s="109">
        <f t="shared" si="6"/>
        <v>1511886096.3001266</v>
      </c>
      <c r="F76" s="117">
        <f t="shared" si="5"/>
        <v>29</v>
      </c>
      <c r="G76" s="4" cm="1">
        <f t="array" ref="G76">Base_NG_Demand*(Increment+Demand_Increase)^(A76-First_Yr)</f>
        <v>19450581462.353142</v>
      </c>
      <c r="H76" s="120" cm="1">
        <f t="array" ref="H76">Purch_price_NG*(Inflation_Annual+Increment)^(F76-First_Yr)</f>
        <v>6.8760808162049936E-2</v>
      </c>
      <c r="I76" s="109">
        <f t="shared" si="7"/>
        <v>1337437700.573189</v>
      </c>
    </row>
    <row r="77" spans="1:9" x14ac:dyDescent="0.35">
      <c r="A77" s="93">
        <f t="shared" si="4"/>
        <v>30</v>
      </c>
      <c r="B77" s="91" cm="1">
        <f t="array" ref="B77">Base_NG_Demand*(Increment+Demand_Increase)^(A77-First_Yr)</f>
        <v>19547834369.664906</v>
      </c>
      <c r="C77" s="99" cm="1">
        <f t="array" ref="C77">Sell_price_NG*(Inflation_Annual+Increment)^(A77-First_Yr)</f>
        <v>7.8895553365065096E-2</v>
      </c>
      <c r="D77" s="109">
        <f t="shared" si="6"/>
        <v>1542237209.6833513</v>
      </c>
      <c r="F77" s="117">
        <f t="shared" si="5"/>
        <v>30</v>
      </c>
      <c r="G77" s="4" cm="1">
        <f t="array" ref="G77">Base_NG_Demand*(Increment+Demand_Increase)^(A77-First_Yr)</f>
        <v>19547834369.664906</v>
      </c>
      <c r="H77" s="120" cm="1">
        <f t="array" ref="H77">Purch_price_NG*(Inflation_Annual+Increment)^(F77-First_Yr)</f>
        <v>6.9792220284480663E-2</v>
      </c>
      <c r="I77" s="109">
        <f t="shared" si="7"/>
        <v>1364286762.4121952</v>
      </c>
    </row>
    <row r="78" spans="1:9" x14ac:dyDescent="0.35">
      <c r="A78" s="94">
        <f t="shared" si="4"/>
        <v>31</v>
      </c>
      <c r="B78" s="95" cm="1">
        <f t="array" ref="B78">Base_NG_Demand*(Increment+Demand_Increase)^(A78-First_Yr)</f>
        <v>19645573541.513226</v>
      </c>
      <c r="C78" s="110" cm="1">
        <f t="array" ref="C78">Sell_price_NG*(Inflation_Annual+Increment)^(A78-First_Yr)</f>
        <v>8.0078986665541071E-2</v>
      </c>
      <c r="D78" s="111">
        <f t="shared" si="6"/>
        <v>1573197621.6677442</v>
      </c>
      <c r="F78" s="118">
        <f t="shared" si="5"/>
        <v>31</v>
      </c>
      <c r="G78" s="95" cm="1">
        <f t="array" ref="G78">Base_NG_Demand*(Increment+Demand_Increase)^(A78-First_Yr)</f>
        <v>19645573541.513226</v>
      </c>
      <c r="H78" s="110" cm="1">
        <f t="array" ref="H78">Purch_price_NG*(Inflation_Annual+Increment)^(F78-First_Yr)</f>
        <v>7.083910358874787E-2</v>
      </c>
      <c r="I78" s="111">
        <f t="shared" si="7"/>
        <v>1391674819.1676197</v>
      </c>
    </row>
    <row r="79" spans="1:9" x14ac:dyDescent="0.35">
      <c r="A79" s="13"/>
      <c r="B79" s="7"/>
      <c r="C79" s="7"/>
      <c r="D79" s="7"/>
    </row>
    <row r="80" spans="1:9" x14ac:dyDescent="0.35">
      <c r="A80" s="13"/>
      <c r="B80" s="7"/>
      <c r="C80" s="7"/>
      <c r="D80" s="7"/>
    </row>
    <row r="81" spans="1:4" x14ac:dyDescent="0.35">
      <c r="A81" s="123" t="s">
        <v>120</v>
      </c>
      <c r="B81" s="7"/>
      <c r="C81" s="7"/>
      <c r="D81" s="7"/>
    </row>
    <row r="82" spans="1:4" x14ac:dyDescent="0.35">
      <c r="A82" s="97" t="s">
        <v>108</v>
      </c>
      <c r="B82" s="97" t="s">
        <v>121</v>
      </c>
      <c r="C82" s="97" t="s">
        <v>122</v>
      </c>
    </row>
    <row r="83" spans="1:4" x14ac:dyDescent="0.35">
      <c r="A83" s="92">
        <f>Increment</f>
        <v>1</v>
      </c>
      <c r="B83" s="55"/>
      <c r="C83" s="56"/>
    </row>
    <row r="84" spans="1:4" x14ac:dyDescent="0.35">
      <c r="A84" s="93">
        <f t="shared" ref="A84:A113" si="8">A83+Increment</f>
        <v>2</v>
      </c>
      <c r="B84" s="91">
        <f>Fuel_Pipeline</f>
        <v>4700000</v>
      </c>
      <c r="C84" s="109">
        <f t="shared" ref="C84:C113" si="9">B84*(Increment/M_i_Y)</f>
        <v>391666.66666666663</v>
      </c>
    </row>
    <row r="85" spans="1:4" x14ac:dyDescent="0.35">
      <c r="A85" s="93">
        <f t="shared" si="8"/>
        <v>3</v>
      </c>
      <c r="B85" s="91">
        <f t="shared" ref="B85:B113" si="10">B84*(Inflation_Annual+Increment)</f>
        <v>4770500</v>
      </c>
      <c r="C85" s="109">
        <f t="shared" si="9"/>
        <v>397541.66666666663</v>
      </c>
    </row>
    <row r="86" spans="1:4" x14ac:dyDescent="0.35">
      <c r="A86" s="93">
        <f t="shared" si="8"/>
        <v>4</v>
      </c>
      <c r="B86" s="91">
        <f t="shared" si="10"/>
        <v>4842057.4999999991</v>
      </c>
      <c r="C86" s="109">
        <f t="shared" si="9"/>
        <v>403504.79166666657</v>
      </c>
    </row>
    <row r="87" spans="1:4" x14ac:dyDescent="0.35">
      <c r="A87" s="93">
        <f t="shared" si="8"/>
        <v>5</v>
      </c>
      <c r="B87" s="91">
        <f t="shared" si="10"/>
        <v>4914688.3624999989</v>
      </c>
      <c r="C87" s="109">
        <f t="shared" si="9"/>
        <v>409557.36354166653</v>
      </c>
    </row>
    <row r="88" spans="1:4" x14ac:dyDescent="0.35">
      <c r="A88" s="93">
        <f t="shared" si="8"/>
        <v>6</v>
      </c>
      <c r="B88" s="91">
        <f t="shared" si="10"/>
        <v>4988408.6879374981</v>
      </c>
      <c r="C88" s="109">
        <f t="shared" si="9"/>
        <v>415700.72399479151</v>
      </c>
    </row>
    <row r="89" spans="1:4" x14ac:dyDescent="0.35">
      <c r="A89" s="93">
        <f t="shared" si="8"/>
        <v>7</v>
      </c>
      <c r="B89" s="91">
        <f t="shared" si="10"/>
        <v>5063234.8182565598</v>
      </c>
      <c r="C89" s="109">
        <f t="shared" si="9"/>
        <v>421936.23485471332</v>
      </c>
    </row>
    <row r="90" spans="1:4" x14ac:dyDescent="0.35">
      <c r="A90" s="93">
        <f t="shared" si="8"/>
        <v>8</v>
      </c>
      <c r="B90" s="91">
        <f t="shared" si="10"/>
        <v>5139183.3405304076</v>
      </c>
      <c r="C90" s="109">
        <f t="shared" si="9"/>
        <v>428265.27837753395</v>
      </c>
    </row>
    <row r="91" spans="1:4" x14ac:dyDescent="0.35">
      <c r="A91" s="93">
        <f t="shared" si="8"/>
        <v>9</v>
      </c>
      <c r="B91" s="91">
        <f t="shared" si="10"/>
        <v>5216271.0906383628</v>
      </c>
      <c r="C91" s="109">
        <f t="shared" si="9"/>
        <v>434689.25755319686</v>
      </c>
    </row>
    <row r="92" spans="1:4" x14ac:dyDescent="0.35">
      <c r="A92" s="93">
        <f t="shared" si="8"/>
        <v>10</v>
      </c>
      <c r="B92" s="91">
        <f t="shared" si="10"/>
        <v>5294515.1569979377</v>
      </c>
      <c r="C92" s="109">
        <f t="shared" si="9"/>
        <v>441209.59641649481</v>
      </c>
    </row>
    <row r="93" spans="1:4" x14ac:dyDescent="0.35">
      <c r="A93" s="93">
        <f t="shared" si="8"/>
        <v>11</v>
      </c>
      <c r="B93" s="91">
        <f t="shared" si="10"/>
        <v>5373932.8843529066</v>
      </c>
      <c r="C93" s="109">
        <f t="shared" si="9"/>
        <v>447827.74036274222</v>
      </c>
    </row>
    <row r="94" spans="1:4" x14ac:dyDescent="0.35">
      <c r="A94" s="93">
        <f t="shared" si="8"/>
        <v>12</v>
      </c>
      <c r="B94" s="91">
        <f t="shared" si="10"/>
        <v>5454541.8776182001</v>
      </c>
      <c r="C94" s="109">
        <f t="shared" si="9"/>
        <v>454545.15646818333</v>
      </c>
    </row>
    <row r="95" spans="1:4" x14ac:dyDescent="0.35">
      <c r="A95" s="93">
        <f t="shared" si="8"/>
        <v>13</v>
      </c>
      <c r="B95" s="91">
        <f t="shared" si="10"/>
        <v>5536360.0057824729</v>
      </c>
      <c r="C95" s="109">
        <f t="shared" si="9"/>
        <v>461363.33381520608</v>
      </c>
    </row>
    <row r="96" spans="1:4" x14ac:dyDescent="0.35">
      <c r="A96" s="93">
        <f t="shared" si="8"/>
        <v>14</v>
      </c>
      <c r="B96" s="91">
        <f t="shared" si="10"/>
        <v>5619405.4058692092</v>
      </c>
      <c r="C96" s="109">
        <f t="shared" si="9"/>
        <v>468283.78382243408</v>
      </c>
    </row>
    <row r="97" spans="1:3" x14ac:dyDescent="0.35">
      <c r="A97" s="93">
        <f t="shared" si="8"/>
        <v>15</v>
      </c>
      <c r="B97" s="91">
        <f t="shared" si="10"/>
        <v>5703696.4869572464</v>
      </c>
      <c r="C97" s="109">
        <f t="shared" si="9"/>
        <v>475308.04057977052</v>
      </c>
    </row>
    <row r="98" spans="1:3" x14ac:dyDescent="0.35">
      <c r="A98" s="93">
        <f t="shared" si="8"/>
        <v>16</v>
      </c>
      <c r="B98" s="91">
        <f t="shared" si="10"/>
        <v>5789251.9342616042</v>
      </c>
      <c r="C98" s="109">
        <f t="shared" si="9"/>
        <v>482437.661188467</v>
      </c>
    </row>
    <row r="99" spans="1:3" x14ac:dyDescent="0.35">
      <c r="A99" s="93">
        <f t="shared" si="8"/>
        <v>17</v>
      </c>
      <c r="B99" s="91">
        <f t="shared" si="10"/>
        <v>5876090.7132755276</v>
      </c>
      <c r="C99" s="109">
        <f t="shared" si="9"/>
        <v>489674.22610629397</v>
      </c>
    </row>
    <row r="100" spans="1:3" x14ac:dyDescent="0.35">
      <c r="A100" s="93">
        <f t="shared" si="8"/>
        <v>18</v>
      </c>
      <c r="B100" s="91">
        <f t="shared" si="10"/>
        <v>5964232.0739746597</v>
      </c>
      <c r="C100" s="109">
        <f t="shared" si="9"/>
        <v>497019.33949788829</v>
      </c>
    </row>
    <row r="101" spans="1:3" x14ac:dyDescent="0.35">
      <c r="A101" s="93">
        <f t="shared" si="8"/>
        <v>19</v>
      </c>
      <c r="B101" s="91">
        <f t="shared" si="10"/>
        <v>6053695.5550842788</v>
      </c>
      <c r="C101" s="109">
        <f t="shared" si="9"/>
        <v>504474.62959035655</v>
      </c>
    </row>
    <row r="102" spans="1:3" x14ac:dyDescent="0.35">
      <c r="A102" s="93">
        <f t="shared" si="8"/>
        <v>20</v>
      </c>
      <c r="B102" s="91">
        <f t="shared" si="10"/>
        <v>6144500.9884105427</v>
      </c>
      <c r="C102" s="109">
        <f t="shared" si="9"/>
        <v>512041.74903421185</v>
      </c>
    </row>
    <row r="103" spans="1:3" x14ac:dyDescent="0.35">
      <c r="A103" s="93">
        <f t="shared" si="8"/>
        <v>21</v>
      </c>
      <c r="B103" s="91">
        <f t="shared" si="10"/>
        <v>6236668.5032366998</v>
      </c>
      <c r="C103" s="109">
        <f t="shared" si="9"/>
        <v>519722.37526972499</v>
      </c>
    </row>
    <row r="104" spans="1:3" x14ac:dyDescent="0.35">
      <c r="A104" s="93">
        <f t="shared" si="8"/>
        <v>22</v>
      </c>
      <c r="B104" s="91">
        <f t="shared" si="10"/>
        <v>6330218.5307852495</v>
      </c>
      <c r="C104" s="109">
        <f t="shared" si="9"/>
        <v>527518.21089877072</v>
      </c>
    </row>
    <row r="105" spans="1:3" x14ac:dyDescent="0.35">
      <c r="A105" s="93">
        <f t="shared" si="8"/>
        <v>23</v>
      </c>
      <c r="B105" s="91">
        <f t="shared" si="10"/>
        <v>6425171.808747028</v>
      </c>
      <c r="C105" s="109">
        <f t="shared" si="9"/>
        <v>535430.98406225233</v>
      </c>
    </row>
    <row r="106" spans="1:3" x14ac:dyDescent="0.35">
      <c r="A106" s="93">
        <f t="shared" si="8"/>
        <v>24</v>
      </c>
      <c r="B106" s="91">
        <f t="shared" si="10"/>
        <v>6521549.3858782332</v>
      </c>
      <c r="C106" s="109">
        <f t="shared" si="9"/>
        <v>543462.4488231861</v>
      </c>
    </row>
    <row r="107" spans="1:3" x14ac:dyDescent="0.35">
      <c r="A107" s="93">
        <f t="shared" si="8"/>
        <v>25</v>
      </c>
      <c r="B107" s="91">
        <f t="shared" si="10"/>
        <v>6619372.6266664062</v>
      </c>
      <c r="C107" s="109">
        <f t="shared" si="9"/>
        <v>551614.38555553381</v>
      </c>
    </row>
    <row r="108" spans="1:3" x14ac:dyDescent="0.35">
      <c r="A108" s="93">
        <f t="shared" si="8"/>
        <v>26</v>
      </c>
      <c r="B108" s="91">
        <f t="shared" si="10"/>
        <v>6718663.2160664015</v>
      </c>
      <c r="C108" s="109">
        <f t="shared" si="9"/>
        <v>559888.60133886675</v>
      </c>
    </row>
    <row r="109" spans="1:3" x14ac:dyDescent="0.35">
      <c r="A109" s="93">
        <f t="shared" si="8"/>
        <v>27</v>
      </c>
      <c r="B109" s="91">
        <f t="shared" si="10"/>
        <v>6819443.1643073969</v>
      </c>
      <c r="C109" s="109">
        <f t="shared" si="9"/>
        <v>568286.9303589497</v>
      </c>
    </row>
    <row r="110" spans="1:3" x14ac:dyDescent="0.35">
      <c r="A110" s="93">
        <f t="shared" si="8"/>
        <v>28</v>
      </c>
      <c r="B110" s="91">
        <f t="shared" si="10"/>
        <v>6921734.8117720075</v>
      </c>
      <c r="C110" s="109">
        <f t="shared" si="9"/>
        <v>576811.23431433388</v>
      </c>
    </row>
    <row r="111" spans="1:3" x14ac:dyDescent="0.35">
      <c r="A111" s="93">
        <f t="shared" si="8"/>
        <v>29</v>
      </c>
      <c r="B111" s="91">
        <f t="shared" si="10"/>
        <v>7025560.8339485871</v>
      </c>
      <c r="C111" s="109">
        <f t="shared" si="9"/>
        <v>585463.40282904892</v>
      </c>
    </row>
    <row r="112" spans="1:3" x14ac:dyDescent="0.35">
      <c r="A112" s="93">
        <f t="shared" si="8"/>
        <v>30</v>
      </c>
      <c r="B112" s="91">
        <f t="shared" si="10"/>
        <v>7130944.2464578152</v>
      </c>
      <c r="C112" s="109">
        <f t="shared" si="9"/>
        <v>594245.35387148452</v>
      </c>
    </row>
    <row r="113" spans="1:10" x14ac:dyDescent="0.35">
      <c r="A113" s="94">
        <f t="shared" si="8"/>
        <v>31</v>
      </c>
      <c r="B113" s="95">
        <f t="shared" si="10"/>
        <v>7237908.4101546817</v>
      </c>
      <c r="C113" s="111">
        <f t="shared" si="9"/>
        <v>603159.03417955677</v>
      </c>
    </row>
    <row r="114" spans="1:10" x14ac:dyDescent="0.35">
      <c r="A114" s="13"/>
      <c r="B114" s="7"/>
      <c r="C114" s="7"/>
    </row>
    <row r="116" spans="1:10" x14ac:dyDescent="0.35">
      <c r="A116" s="9" t="s">
        <v>123</v>
      </c>
      <c r="H116" s="9"/>
    </row>
    <row r="117" spans="1:10" x14ac:dyDescent="0.35">
      <c r="A117" s="140" t="s">
        <v>124</v>
      </c>
      <c r="B117" s="8"/>
      <c r="C117" s="137" cm="1">
        <f t="array" ref="C117">PMT(Discount_Rate,Total_Years,-B121,,0)</f>
        <v>31324637.030733224</v>
      </c>
      <c r="H117" s="9"/>
    </row>
    <row r="118" spans="1:10" x14ac:dyDescent="0.35">
      <c r="H118" s="9" t="s">
        <v>125</v>
      </c>
    </row>
    <row r="119" spans="1:10" x14ac:dyDescent="0.35">
      <c r="A119" s="53" t="s">
        <v>108</v>
      </c>
      <c r="B119" s="53" t="s">
        <v>126</v>
      </c>
      <c r="C119" s="53" t="s">
        <v>127</v>
      </c>
      <c r="D119" s="53" t="s">
        <v>128</v>
      </c>
      <c r="E119" s="53" t="s">
        <v>129</v>
      </c>
      <c r="F119" s="53" t="s">
        <v>130</v>
      </c>
      <c r="H119" s="53" t="s">
        <v>131</v>
      </c>
      <c r="I119" s="53" t="s">
        <v>132</v>
      </c>
      <c r="J119" s="53" t="s">
        <v>133</v>
      </c>
    </row>
    <row r="120" spans="1:10" x14ac:dyDescent="0.35">
      <c r="A120" s="51">
        <f>Increment</f>
        <v>1</v>
      </c>
      <c r="B120" s="223" cm="1">
        <f t="array" ref="B120">Pipeline_TotalCost+Min_Cash_Balance</f>
        <v>530000000</v>
      </c>
      <c r="C120" s="223">
        <f>J132</f>
        <v>11666666.666666666</v>
      </c>
      <c r="D120" s="224"/>
      <c r="E120" s="224"/>
      <c r="F120" s="217">
        <f>B120+C120</f>
        <v>541666666.66666663</v>
      </c>
      <c r="H120" s="63" t="s">
        <v>49</v>
      </c>
      <c r="I120" s="223" cm="1">
        <f t="array" ref="I120">Pipeline_TotalCost/M_i_Y+Min_Cash_Balance</f>
        <v>53333333.333333336</v>
      </c>
      <c r="J120" s="217">
        <f>I120*Discount_Rate/M_i_Y</f>
        <v>177777.77777777778</v>
      </c>
    </row>
    <row r="121" spans="1:10" x14ac:dyDescent="0.35">
      <c r="A121" s="51">
        <f t="shared" ref="A121:A150" si="11">A120+Increment</f>
        <v>2</v>
      </c>
      <c r="B121" s="223">
        <f>F120</f>
        <v>541666666.66666663</v>
      </c>
      <c r="C121" s="223">
        <f>B121*Discount_Rate</f>
        <v>21666666.666666664</v>
      </c>
      <c r="D121" s="223">
        <f>$C$117</f>
        <v>31324637.030733224</v>
      </c>
      <c r="E121" s="223">
        <f>D121-C121</f>
        <v>9657970.3640665598</v>
      </c>
      <c r="F121" s="217">
        <f>B121-E121</f>
        <v>532008696.30260009</v>
      </c>
      <c r="H121" s="63" t="s">
        <v>50</v>
      </c>
      <c r="I121" s="223" cm="1">
        <f t="array" ref="I121">Pipeline_TotalCost/M_i_Y+I120</f>
        <v>96666666.666666672</v>
      </c>
      <c r="J121" s="217">
        <f>I121*Discount_Rate/M_i_Y</f>
        <v>322222.22222222225</v>
      </c>
    </row>
    <row r="122" spans="1:10" x14ac:dyDescent="0.35">
      <c r="A122" s="51">
        <f t="shared" si="11"/>
        <v>3</v>
      </c>
      <c r="B122" s="223">
        <f t="shared" ref="B122:B150" si="12">F121</f>
        <v>532008696.30260009</v>
      </c>
      <c r="C122" s="223">
        <f t="shared" ref="C122:C150" si="13">B122*Discount_Rate</f>
        <v>21280347.852104004</v>
      </c>
      <c r="D122" s="223">
        <f t="shared" ref="D122:D150" si="14">$C$117</f>
        <v>31324637.030733224</v>
      </c>
      <c r="E122" s="223">
        <f>D122-C122</f>
        <v>10044289.17862922</v>
      </c>
      <c r="F122" s="217">
        <f t="shared" ref="F122:F150" si="15">B122-E122</f>
        <v>521964407.12397087</v>
      </c>
      <c r="H122" s="63" t="s">
        <v>52</v>
      </c>
      <c r="I122" s="223" cm="1">
        <f t="array" ref="I122">Pipeline_TotalCost/M_i_Y+I121</f>
        <v>140000000</v>
      </c>
      <c r="J122" s="217">
        <f t="shared" ref="J122:J131" si="16">I122*Discount_Rate/M_i_Y</f>
        <v>466666.66666666669</v>
      </c>
    </row>
    <row r="123" spans="1:10" x14ac:dyDescent="0.35">
      <c r="A123" s="51">
        <f t="shared" si="11"/>
        <v>4</v>
      </c>
      <c r="B123" s="223">
        <f t="shared" si="12"/>
        <v>521964407.12397087</v>
      </c>
      <c r="C123" s="223">
        <f t="shared" si="13"/>
        <v>20878576.284958836</v>
      </c>
      <c r="D123" s="223">
        <f t="shared" si="14"/>
        <v>31324637.030733224</v>
      </c>
      <c r="E123" s="223">
        <f>D123-C123</f>
        <v>10446060.745774388</v>
      </c>
      <c r="F123" s="217">
        <f t="shared" si="15"/>
        <v>511518346.37819648</v>
      </c>
      <c r="H123" s="63" t="s">
        <v>54</v>
      </c>
      <c r="I123" s="223" cm="1">
        <f t="array" ref="I123">Pipeline_TotalCost/M_i_Y+I122</f>
        <v>183333333.33333334</v>
      </c>
      <c r="J123" s="217">
        <f t="shared" si="16"/>
        <v>611111.11111111112</v>
      </c>
    </row>
    <row r="124" spans="1:10" x14ac:dyDescent="0.35">
      <c r="A124" s="51">
        <f t="shared" si="11"/>
        <v>5</v>
      </c>
      <c r="B124" s="223">
        <f t="shared" si="12"/>
        <v>511518346.37819648</v>
      </c>
      <c r="C124" s="223">
        <f t="shared" si="13"/>
        <v>20460733.85512786</v>
      </c>
      <c r="D124" s="223">
        <f t="shared" si="14"/>
        <v>31324637.030733224</v>
      </c>
      <c r="E124" s="223">
        <f>D124-C124</f>
        <v>10863903.175605364</v>
      </c>
      <c r="F124" s="217">
        <f t="shared" si="15"/>
        <v>500654443.20259112</v>
      </c>
      <c r="H124" s="63" t="s">
        <v>55</v>
      </c>
      <c r="I124" s="223" cm="1">
        <f t="array" ref="I124">Pipeline_TotalCost/M_i_Y+I123</f>
        <v>226666666.66666669</v>
      </c>
      <c r="J124" s="217">
        <f t="shared" si="16"/>
        <v>755555.55555555562</v>
      </c>
    </row>
    <row r="125" spans="1:10" x14ac:dyDescent="0.35">
      <c r="A125" s="51">
        <f t="shared" si="11"/>
        <v>6</v>
      </c>
      <c r="B125" s="223">
        <f t="shared" si="12"/>
        <v>500654443.20259112</v>
      </c>
      <c r="C125" s="223">
        <f t="shared" si="13"/>
        <v>20026177.728103645</v>
      </c>
      <c r="D125" s="223">
        <f t="shared" si="14"/>
        <v>31324637.030733224</v>
      </c>
      <c r="E125" s="223">
        <f>D125-C125</f>
        <v>11298459.302629579</v>
      </c>
      <c r="F125" s="217">
        <f t="shared" si="15"/>
        <v>489355983.89996153</v>
      </c>
      <c r="H125" s="63" t="s">
        <v>56</v>
      </c>
      <c r="I125" s="223" cm="1">
        <f t="array" ref="I125">Pipeline_TotalCost/M_i_Y+I124</f>
        <v>270000000</v>
      </c>
      <c r="J125" s="217">
        <f t="shared" si="16"/>
        <v>900000</v>
      </c>
    </row>
    <row r="126" spans="1:10" x14ac:dyDescent="0.35">
      <c r="A126" s="51">
        <f t="shared" si="11"/>
        <v>7</v>
      </c>
      <c r="B126" s="223">
        <f t="shared" si="12"/>
        <v>489355983.89996153</v>
      </c>
      <c r="C126" s="223">
        <f t="shared" si="13"/>
        <v>19574239.35599846</v>
      </c>
      <c r="D126" s="223">
        <f t="shared" si="14"/>
        <v>31324637.030733224</v>
      </c>
      <c r="E126" s="223">
        <f t="shared" ref="E126:E150" si="17">D126-C126</f>
        <v>11750397.674734764</v>
      </c>
      <c r="F126" s="217">
        <f t="shared" si="15"/>
        <v>477605586.22522676</v>
      </c>
      <c r="H126" s="63" t="s">
        <v>57</v>
      </c>
      <c r="I126" s="223" cm="1">
        <f t="array" ref="I126">Pipeline_TotalCost/M_i_Y+I125</f>
        <v>313333333.33333331</v>
      </c>
      <c r="J126" s="217">
        <f t="shared" si="16"/>
        <v>1044444.4444444444</v>
      </c>
    </row>
    <row r="127" spans="1:10" x14ac:dyDescent="0.35">
      <c r="A127" s="51">
        <f t="shared" si="11"/>
        <v>8</v>
      </c>
      <c r="B127" s="223">
        <f t="shared" si="12"/>
        <v>477605586.22522676</v>
      </c>
      <c r="C127" s="223">
        <f t="shared" si="13"/>
        <v>19104223.449009072</v>
      </c>
      <c r="D127" s="223">
        <f t="shared" si="14"/>
        <v>31324637.030733224</v>
      </c>
      <c r="E127" s="223">
        <f t="shared" si="17"/>
        <v>12220413.581724152</v>
      </c>
      <c r="F127" s="217">
        <f t="shared" si="15"/>
        <v>465385172.64350259</v>
      </c>
      <c r="H127" s="63" t="s">
        <v>58</v>
      </c>
      <c r="I127" s="223" cm="1">
        <f t="array" ref="I127">Pipeline_TotalCost/M_i_Y+I126</f>
        <v>356666666.66666663</v>
      </c>
      <c r="J127" s="217">
        <f t="shared" si="16"/>
        <v>1188888.8888888888</v>
      </c>
    </row>
    <row r="128" spans="1:10" x14ac:dyDescent="0.35">
      <c r="A128" s="51">
        <f t="shared" si="11"/>
        <v>9</v>
      </c>
      <c r="B128" s="223">
        <f t="shared" si="12"/>
        <v>465385172.64350259</v>
      </c>
      <c r="C128" s="223">
        <f t="shared" si="13"/>
        <v>18615406.905740105</v>
      </c>
      <c r="D128" s="223">
        <f t="shared" si="14"/>
        <v>31324637.030733224</v>
      </c>
      <c r="E128" s="223">
        <f t="shared" si="17"/>
        <v>12709230.124993119</v>
      </c>
      <c r="F128" s="217">
        <f t="shared" si="15"/>
        <v>452675942.51850945</v>
      </c>
      <c r="H128" s="63" t="s">
        <v>59</v>
      </c>
      <c r="I128" s="223" cm="1">
        <f t="array" ref="I128">Pipeline_TotalCost/M_i_Y+I127</f>
        <v>399999999.99999994</v>
      </c>
      <c r="J128" s="217">
        <f t="shared" si="16"/>
        <v>1333333.3333333333</v>
      </c>
    </row>
    <row r="129" spans="1:10" x14ac:dyDescent="0.35">
      <c r="A129" s="51">
        <f t="shared" si="11"/>
        <v>10</v>
      </c>
      <c r="B129" s="223">
        <f t="shared" si="12"/>
        <v>452675942.51850945</v>
      </c>
      <c r="C129" s="223">
        <f t="shared" si="13"/>
        <v>18107037.700740378</v>
      </c>
      <c r="D129" s="223">
        <f t="shared" si="14"/>
        <v>31324637.030733224</v>
      </c>
      <c r="E129" s="223">
        <f t="shared" si="17"/>
        <v>13217599.329992846</v>
      </c>
      <c r="F129" s="217">
        <f t="shared" si="15"/>
        <v>439458343.18851662</v>
      </c>
      <c r="H129" s="63" t="s">
        <v>60</v>
      </c>
      <c r="I129" s="223" cm="1">
        <f t="array" ref="I129">Pipeline_TotalCost/M_i_Y+I128</f>
        <v>443333333.33333325</v>
      </c>
      <c r="J129" s="217">
        <f t="shared" si="16"/>
        <v>1477777.7777777778</v>
      </c>
    </row>
    <row r="130" spans="1:10" x14ac:dyDescent="0.35">
      <c r="A130" s="51">
        <f t="shared" si="11"/>
        <v>11</v>
      </c>
      <c r="B130" s="223">
        <f t="shared" si="12"/>
        <v>439458343.18851662</v>
      </c>
      <c r="C130" s="223">
        <f t="shared" si="13"/>
        <v>17578333.727540664</v>
      </c>
      <c r="D130" s="223">
        <f t="shared" si="14"/>
        <v>31324637.030733224</v>
      </c>
      <c r="E130" s="223">
        <f t="shared" si="17"/>
        <v>13746303.30319256</v>
      </c>
      <c r="F130" s="217">
        <f t="shared" si="15"/>
        <v>425712039.88532406</v>
      </c>
      <c r="H130" s="63" t="s">
        <v>61</v>
      </c>
      <c r="I130" s="223" cm="1">
        <f t="array" ref="I130">Pipeline_TotalCost/M_i_Y+I129</f>
        <v>486666666.66666657</v>
      </c>
      <c r="J130" s="217">
        <f t="shared" si="16"/>
        <v>1622222.222222222</v>
      </c>
    </row>
    <row r="131" spans="1:10" x14ac:dyDescent="0.35">
      <c r="A131" s="51">
        <f t="shared" si="11"/>
        <v>12</v>
      </c>
      <c r="B131" s="223">
        <f t="shared" si="12"/>
        <v>425712039.88532406</v>
      </c>
      <c r="C131" s="223">
        <f t="shared" si="13"/>
        <v>17028481.595412962</v>
      </c>
      <c r="D131" s="223">
        <f t="shared" si="14"/>
        <v>31324637.030733224</v>
      </c>
      <c r="E131" s="223">
        <f t="shared" si="17"/>
        <v>14296155.435320262</v>
      </c>
      <c r="F131" s="217">
        <f t="shared" si="15"/>
        <v>411415884.4500038</v>
      </c>
      <c r="H131" s="63" t="s">
        <v>62</v>
      </c>
      <c r="I131" s="223" cm="1">
        <f t="array" ref="I131">Pipeline_TotalCost/M_i_Y+I130</f>
        <v>529999999.99999988</v>
      </c>
      <c r="J131" s="227">
        <f t="shared" si="16"/>
        <v>1766666.6666666663</v>
      </c>
    </row>
    <row r="132" spans="1:10" x14ac:dyDescent="0.35">
      <c r="A132" s="51">
        <f t="shared" si="11"/>
        <v>13</v>
      </c>
      <c r="B132" s="223">
        <f t="shared" si="12"/>
        <v>411415884.4500038</v>
      </c>
      <c r="C132" s="223">
        <f t="shared" si="13"/>
        <v>16456635.378000153</v>
      </c>
      <c r="D132" s="223">
        <f t="shared" si="14"/>
        <v>31324637.030733224</v>
      </c>
      <c r="E132" s="223">
        <f t="shared" si="17"/>
        <v>14868001.652733071</v>
      </c>
      <c r="F132" s="217">
        <f t="shared" si="15"/>
        <v>396547882.79727072</v>
      </c>
      <c r="H132" s="136" t="s">
        <v>134</v>
      </c>
      <c r="I132" s="228"/>
      <c r="J132" s="229">
        <f>SUM(J120:J131)</f>
        <v>11666666.666666666</v>
      </c>
    </row>
    <row r="133" spans="1:10" x14ac:dyDescent="0.35">
      <c r="A133" s="51">
        <f t="shared" si="11"/>
        <v>14</v>
      </c>
      <c r="B133" s="223">
        <f t="shared" si="12"/>
        <v>396547882.79727072</v>
      </c>
      <c r="C133" s="223">
        <f t="shared" si="13"/>
        <v>15861915.311890829</v>
      </c>
      <c r="D133" s="223">
        <f t="shared" si="14"/>
        <v>31324637.030733224</v>
      </c>
      <c r="E133" s="223">
        <f t="shared" si="17"/>
        <v>15462721.718842395</v>
      </c>
      <c r="F133" s="217">
        <f t="shared" si="15"/>
        <v>381085161.07842833</v>
      </c>
    </row>
    <row r="134" spans="1:10" x14ac:dyDescent="0.35">
      <c r="A134" s="51">
        <f t="shared" si="11"/>
        <v>15</v>
      </c>
      <c r="B134" s="223">
        <f t="shared" si="12"/>
        <v>381085161.07842833</v>
      </c>
      <c r="C134" s="223">
        <f t="shared" si="13"/>
        <v>15243406.443137133</v>
      </c>
      <c r="D134" s="223">
        <f t="shared" si="14"/>
        <v>31324637.030733224</v>
      </c>
      <c r="E134" s="223">
        <f t="shared" si="17"/>
        <v>16081230.587596091</v>
      </c>
      <c r="F134" s="217">
        <f t="shared" si="15"/>
        <v>365003930.49083221</v>
      </c>
    </row>
    <row r="135" spans="1:10" x14ac:dyDescent="0.35">
      <c r="A135" s="51">
        <f t="shared" si="11"/>
        <v>16</v>
      </c>
      <c r="B135" s="223">
        <f t="shared" si="12"/>
        <v>365003930.49083221</v>
      </c>
      <c r="C135" s="223">
        <f t="shared" si="13"/>
        <v>14600157.219633289</v>
      </c>
      <c r="D135" s="223">
        <f t="shared" si="14"/>
        <v>31324637.030733224</v>
      </c>
      <c r="E135" s="223">
        <f t="shared" si="17"/>
        <v>16724479.811099935</v>
      </c>
      <c r="F135" s="217">
        <f t="shared" si="15"/>
        <v>348279450.67973226</v>
      </c>
    </row>
    <row r="136" spans="1:10" x14ac:dyDescent="0.35">
      <c r="A136" s="51">
        <f t="shared" si="11"/>
        <v>17</v>
      </c>
      <c r="B136" s="223">
        <f t="shared" si="12"/>
        <v>348279450.67973226</v>
      </c>
      <c r="C136" s="223">
        <f t="shared" si="13"/>
        <v>13931178.02718929</v>
      </c>
      <c r="D136" s="223">
        <f t="shared" si="14"/>
        <v>31324637.030733224</v>
      </c>
      <c r="E136" s="223">
        <f t="shared" si="17"/>
        <v>17393459.003543936</v>
      </c>
      <c r="F136" s="217">
        <f t="shared" si="15"/>
        <v>330885991.67618835</v>
      </c>
    </row>
    <row r="137" spans="1:10" x14ac:dyDescent="0.35">
      <c r="A137" s="51">
        <f t="shared" si="11"/>
        <v>18</v>
      </c>
      <c r="B137" s="223">
        <f t="shared" si="12"/>
        <v>330885991.67618835</v>
      </c>
      <c r="C137" s="223">
        <f t="shared" si="13"/>
        <v>13235439.667047534</v>
      </c>
      <c r="D137" s="223">
        <f t="shared" si="14"/>
        <v>31324637.030733224</v>
      </c>
      <c r="E137" s="223">
        <f t="shared" si="17"/>
        <v>18089197.36368569</v>
      </c>
      <c r="F137" s="217">
        <f t="shared" si="15"/>
        <v>312796794.31250268</v>
      </c>
    </row>
    <row r="138" spans="1:10" x14ac:dyDescent="0.35">
      <c r="A138" s="51">
        <f t="shared" si="11"/>
        <v>19</v>
      </c>
      <c r="B138" s="223">
        <f t="shared" si="12"/>
        <v>312796794.31250268</v>
      </c>
      <c r="C138" s="223">
        <f t="shared" si="13"/>
        <v>12511871.772500107</v>
      </c>
      <c r="D138" s="223">
        <f t="shared" si="14"/>
        <v>31324637.030733224</v>
      </c>
      <c r="E138" s="223">
        <f t="shared" si="17"/>
        <v>18812765.258233115</v>
      </c>
      <c r="F138" s="217">
        <f t="shared" si="15"/>
        <v>293984029.05426955</v>
      </c>
    </row>
    <row r="139" spans="1:10" x14ac:dyDescent="0.35">
      <c r="A139" s="51">
        <f t="shared" si="11"/>
        <v>20</v>
      </c>
      <c r="B139" s="223">
        <f t="shared" si="12"/>
        <v>293984029.05426955</v>
      </c>
      <c r="C139" s="223">
        <f t="shared" si="13"/>
        <v>11759361.162170783</v>
      </c>
      <c r="D139" s="223">
        <f t="shared" si="14"/>
        <v>31324637.030733224</v>
      </c>
      <c r="E139" s="223">
        <f t="shared" si="17"/>
        <v>19565275.868562441</v>
      </c>
      <c r="F139" s="217">
        <f t="shared" si="15"/>
        <v>274418753.18570709</v>
      </c>
    </row>
    <row r="140" spans="1:10" x14ac:dyDescent="0.35">
      <c r="A140" s="51">
        <f t="shared" si="11"/>
        <v>21</v>
      </c>
      <c r="B140" s="223">
        <f t="shared" si="12"/>
        <v>274418753.18570709</v>
      </c>
      <c r="C140" s="223">
        <f t="shared" si="13"/>
        <v>10976750.127428284</v>
      </c>
      <c r="D140" s="223">
        <f t="shared" si="14"/>
        <v>31324637.030733224</v>
      </c>
      <c r="E140" s="223">
        <f t="shared" si="17"/>
        <v>20347886.903304942</v>
      </c>
      <c r="F140" s="217">
        <f t="shared" si="15"/>
        <v>254070866.28240216</v>
      </c>
    </row>
    <row r="141" spans="1:10" x14ac:dyDescent="0.35">
      <c r="A141" s="51">
        <f t="shared" si="11"/>
        <v>22</v>
      </c>
      <c r="B141" s="223">
        <f t="shared" si="12"/>
        <v>254070866.28240216</v>
      </c>
      <c r="C141" s="223">
        <f t="shared" si="13"/>
        <v>10162834.651296087</v>
      </c>
      <c r="D141" s="223">
        <f t="shared" si="14"/>
        <v>31324637.030733224</v>
      </c>
      <c r="E141" s="223">
        <f t="shared" si="17"/>
        <v>21161802.379437137</v>
      </c>
      <c r="F141" s="217">
        <f t="shared" si="15"/>
        <v>232909063.90296501</v>
      </c>
    </row>
    <row r="142" spans="1:10" x14ac:dyDescent="0.35">
      <c r="A142" s="51">
        <f t="shared" si="11"/>
        <v>23</v>
      </c>
      <c r="B142" s="223">
        <f t="shared" si="12"/>
        <v>232909063.90296501</v>
      </c>
      <c r="C142" s="223">
        <f t="shared" si="13"/>
        <v>9316362.5561186001</v>
      </c>
      <c r="D142" s="223">
        <f t="shared" si="14"/>
        <v>31324637.030733224</v>
      </c>
      <c r="E142" s="223">
        <f t="shared" si="17"/>
        <v>22008274.474614624</v>
      </c>
      <c r="F142" s="217">
        <f t="shared" si="15"/>
        <v>210900789.42835039</v>
      </c>
    </row>
    <row r="143" spans="1:10" x14ac:dyDescent="0.35">
      <c r="A143" s="51">
        <f t="shared" si="11"/>
        <v>24</v>
      </c>
      <c r="B143" s="223">
        <f t="shared" si="12"/>
        <v>210900789.42835039</v>
      </c>
      <c r="C143" s="223">
        <f t="shared" si="13"/>
        <v>8436031.577134015</v>
      </c>
      <c r="D143" s="223">
        <f t="shared" si="14"/>
        <v>31324637.030733224</v>
      </c>
      <c r="E143" s="223">
        <f t="shared" si="17"/>
        <v>22888605.453599207</v>
      </c>
      <c r="F143" s="217">
        <f t="shared" si="15"/>
        <v>188012183.97475117</v>
      </c>
    </row>
    <row r="144" spans="1:10" x14ac:dyDescent="0.35">
      <c r="A144" s="51">
        <f t="shared" si="11"/>
        <v>25</v>
      </c>
      <c r="B144" s="223">
        <f t="shared" si="12"/>
        <v>188012183.97475117</v>
      </c>
      <c r="C144" s="223">
        <f t="shared" si="13"/>
        <v>7520487.3589900471</v>
      </c>
      <c r="D144" s="223">
        <f t="shared" si="14"/>
        <v>31324637.030733224</v>
      </c>
      <c r="E144" s="223">
        <f t="shared" si="17"/>
        <v>23804149.671743177</v>
      </c>
      <c r="F144" s="217">
        <f t="shared" si="15"/>
        <v>164208034.30300799</v>
      </c>
    </row>
    <row r="145" spans="1:6" x14ac:dyDescent="0.35">
      <c r="A145" s="51">
        <f t="shared" si="11"/>
        <v>26</v>
      </c>
      <c r="B145" s="223">
        <f t="shared" si="12"/>
        <v>164208034.30300799</v>
      </c>
      <c r="C145" s="223">
        <f t="shared" si="13"/>
        <v>6568321.3721203199</v>
      </c>
      <c r="D145" s="223">
        <f t="shared" si="14"/>
        <v>31324637.030733224</v>
      </c>
      <c r="E145" s="223">
        <f t="shared" si="17"/>
        <v>24756315.658612903</v>
      </c>
      <c r="F145" s="217">
        <f t="shared" si="15"/>
        <v>139451718.64439508</v>
      </c>
    </row>
    <row r="146" spans="1:6" x14ac:dyDescent="0.35">
      <c r="A146" s="51">
        <f t="shared" si="11"/>
        <v>27</v>
      </c>
      <c r="B146" s="223">
        <f t="shared" si="12"/>
        <v>139451718.64439508</v>
      </c>
      <c r="C146" s="223">
        <f t="shared" si="13"/>
        <v>5578068.745775803</v>
      </c>
      <c r="D146" s="223">
        <f t="shared" si="14"/>
        <v>31324637.030733224</v>
      </c>
      <c r="E146" s="223">
        <f t="shared" si="17"/>
        <v>25746568.28495742</v>
      </c>
      <c r="F146" s="217">
        <f t="shared" si="15"/>
        <v>113705150.35943766</v>
      </c>
    </row>
    <row r="147" spans="1:6" x14ac:dyDescent="0.35">
      <c r="A147" s="51">
        <f t="shared" si="11"/>
        <v>28</v>
      </c>
      <c r="B147" s="223">
        <f t="shared" si="12"/>
        <v>113705150.35943766</v>
      </c>
      <c r="C147" s="223">
        <f t="shared" si="13"/>
        <v>4548206.0143775064</v>
      </c>
      <c r="D147" s="223">
        <f t="shared" si="14"/>
        <v>31324637.030733224</v>
      </c>
      <c r="E147" s="223">
        <f t="shared" si="17"/>
        <v>26776431.016355716</v>
      </c>
      <c r="F147" s="217">
        <f t="shared" si="15"/>
        <v>86928719.343081951</v>
      </c>
    </row>
    <row r="148" spans="1:6" x14ac:dyDescent="0.35">
      <c r="A148" s="51">
        <f t="shared" si="11"/>
        <v>29</v>
      </c>
      <c r="B148" s="223">
        <f t="shared" si="12"/>
        <v>86928719.343081951</v>
      </c>
      <c r="C148" s="223">
        <f t="shared" si="13"/>
        <v>3477148.7737232782</v>
      </c>
      <c r="D148" s="223">
        <f t="shared" si="14"/>
        <v>31324637.030733224</v>
      </c>
      <c r="E148" s="223">
        <f t="shared" si="17"/>
        <v>27847488.257009946</v>
      </c>
      <c r="F148" s="217">
        <f t="shared" si="15"/>
        <v>59081231.086072005</v>
      </c>
    </row>
    <row r="149" spans="1:6" x14ac:dyDescent="0.35">
      <c r="A149" s="51">
        <f t="shared" si="11"/>
        <v>30</v>
      </c>
      <c r="B149" s="223">
        <f t="shared" si="12"/>
        <v>59081231.086072005</v>
      </c>
      <c r="C149" s="223">
        <f t="shared" si="13"/>
        <v>2363249.2434428805</v>
      </c>
      <c r="D149" s="223">
        <f t="shared" si="14"/>
        <v>31324637.030733224</v>
      </c>
      <c r="E149" s="223">
        <f t="shared" si="17"/>
        <v>28961387.787290342</v>
      </c>
      <c r="F149" s="217">
        <f t="shared" si="15"/>
        <v>30119843.298781663</v>
      </c>
    </row>
    <row r="150" spans="1:6" x14ac:dyDescent="0.35">
      <c r="A150" s="52">
        <f t="shared" si="11"/>
        <v>31</v>
      </c>
      <c r="B150" s="226">
        <f t="shared" si="12"/>
        <v>30119843.298781663</v>
      </c>
      <c r="C150" s="226">
        <f t="shared" si="13"/>
        <v>1204793.7319512665</v>
      </c>
      <c r="D150" s="226">
        <f t="shared" si="14"/>
        <v>31324637.030733224</v>
      </c>
      <c r="E150" s="226">
        <f t="shared" si="17"/>
        <v>30119843.298781957</v>
      </c>
      <c r="F150" s="218">
        <f t="shared" si="15"/>
        <v>-2.9429793357849121E-7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5EA7-1F66-594D-8189-AACE7FEA7A8D}">
  <dimension ref="A1:K215"/>
  <sheetViews>
    <sheetView topLeftCell="A93" workbookViewId="0">
      <selection activeCell="K196" sqref="K196"/>
    </sheetView>
  </sheetViews>
  <sheetFormatPr defaultColWidth="11.453125" defaultRowHeight="14.5" x14ac:dyDescent="0.35"/>
  <cols>
    <col min="1" max="1" width="45" bestFit="1" customWidth="1"/>
    <col min="2" max="2" width="26" customWidth="1"/>
    <col min="3" max="3" width="20.453125" bestFit="1" customWidth="1"/>
    <col min="4" max="4" width="23.453125" bestFit="1" customWidth="1"/>
    <col min="5" max="5" width="17.26953125" bestFit="1" customWidth="1"/>
    <col min="6" max="6" width="18.7265625" customWidth="1"/>
    <col min="7" max="7" width="21.26953125" bestFit="1" customWidth="1"/>
    <col min="8" max="8" width="28.1796875" bestFit="1" customWidth="1"/>
    <col min="9" max="9" width="22.7265625" customWidth="1"/>
    <col min="10" max="10" width="22" customWidth="1"/>
    <col min="11" max="11" width="25.1796875" customWidth="1"/>
    <col min="12" max="32" width="17.26953125" bestFit="1" customWidth="1"/>
    <col min="33" max="33" width="20.453125" customWidth="1"/>
  </cols>
  <sheetData>
    <row r="1" spans="1:4" x14ac:dyDescent="0.35">
      <c r="A1" s="9" t="s">
        <v>19</v>
      </c>
    </row>
    <row r="2" spans="1:4" x14ac:dyDescent="0.35">
      <c r="A2" s="9" t="s">
        <v>135</v>
      </c>
    </row>
    <row r="3" spans="1:4" x14ac:dyDescent="0.35">
      <c r="A3" s="9"/>
    </row>
    <row r="4" spans="1:4" x14ac:dyDescent="0.35">
      <c r="A4" s="2" t="s">
        <v>51</v>
      </c>
    </row>
    <row r="5" spans="1:4" x14ac:dyDescent="0.35">
      <c r="B5" s="54" t="s">
        <v>136</v>
      </c>
    </row>
    <row r="6" spans="1:4" x14ac:dyDescent="0.35">
      <c r="A6" s="145" t="s">
        <v>103</v>
      </c>
      <c r="B6" s="146">
        <f>Building_Cost_Tanker</f>
        <v>250000000</v>
      </c>
    </row>
    <row r="7" spans="1:4" x14ac:dyDescent="0.35">
      <c r="A7" s="70" t="s">
        <v>104</v>
      </c>
      <c r="B7" s="147">
        <f>Useful_Life</f>
        <v>30</v>
      </c>
    </row>
    <row r="8" spans="1:4" x14ac:dyDescent="0.35">
      <c r="A8" s="71" t="s">
        <v>105</v>
      </c>
      <c r="B8" s="148">
        <f>Salvage_Val_Tanker</f>
        <v>20000000</v>
      </c>
    </row>
    <row r="9" spans="1:4" x14ac:dyDescent="0.35">
      <c r="A9" s="71" t="s">
        <v>106</v>
      </c>
      <c r="B9" s="148">
        <f>(Building_Cost_Tanker-Salvage_Val_Tanker)/Useful_Life</f>
        <v>7666666.666666667</v>
      </c>
    </row>
    <row r="11" spans="1:4" x14ac:dyDescent="0.35">
      <c r="A11" s="9" t="s">
        <v>137</v>
      </c>
    </row>
    <row r="12" spans="1:4" x14ac:dyDescent="0.35">
      <c r="A12" s="139" t="s">
        <v>108</v>
      </c>
      <c r="B12" s="54" t="s">
        <v>138</v>
      </c>
      <c r="C12" s="54" t="s">
        <v>139</v>
      </c>
      <c r="D12" s="54" t="s">
        <v>140</v>
      </c>
    </row>
    <row r="13" spans="1:4" x14ac:dyDescent="0.35">
      <c r="A13" s="51">
        <f>Increment</f>
        <v>1</v>
      </c>
      <c r="B13" s="55"/>
      <c r="C13" s="56"/>
      <c r="D13" s="57"/>
    </row>
    <row r="14" spans="1:4" x14ac:dyDescent="0.35">
      <c r="A14" s="51">
        <f t="shared" ref="A14:A43" si="0">A13+Increment</f>
        <v>2</v>
      </c>
      <c r="B14" s="58">
        <f>B6</f>
        <v>250000000</v>
      </c>
      <c r="C14" s="7">
        <f>$B$9</f>
        <v>7666666.666666667</v>
      </c>
      <c r="D14" s="59">
        <f t="shared" ref="D14:D43" si="1">B14-C14</f>
        <v>242333333.33333334</v>
      </c>
    </row>
    <row r="15" spans="1:4" x14ac:dyDescent="0.35">
      <c r="A15" s="51">
        <f t="shared" si="0"/>
        <v>3</v>
      </c>
      <c r="B15" s="58">
        <f>D14</f>
        <v>242333333.33333334</v>
      </c>
      <c r="C15" s="7">
        <f t="shared" ref="C15:C43" si="2">$B$9</f>
        <v>7666666.666666667</v>
      </c>
      <c r="D15" s="59">
        <f t="shared" si="1"/>
        <v>234666666.66666669</v>
      </c>
    </row>
    <row r="16" spans="1:4" x14ac:dyDescent="0.35">
      <c r="A16" s="51">
        <f t="shared" si="0"/>
        <v>4</v>
      </c>
      <c r="B16" s="58">
        <f t="shared" ref="B16:B43" si="3">D15</f>
        <v>234666666.66666669</v>
      </c>
      <c r="C16" s="7">
        <f t="shared" si="2"/>
        <v>7666666.666666667</v>
      </c>
      <c r="D16" s="59">
        <f t="shared" si="1"/>
        <v>227000000.00000003</v>
      </c>
    </row>
    <row r="17" spans="1:4" x14ac:dyDescent="0.35">
      <c r="A17" s="51">
        <f t="shared" si="0"/>
        <v>5</v>
      </c>
      <c r="B17" s="58">
        <f t="shared" si="3"/>
        <v>227000000.00000003</v>
      </c>
      <c r="C17" s="7">
        <f t="shared" si="2"/>
        <v>7666666.666666667</v>
      </c>
      <c r="D17" s="59">
        <f t="shared" si="1"/>
        <v>219333333.33333337</v>
      </c>
    </row>
    <row r="18" spans="1:4" x14ac:dyDescent="0.35">
      <c r="A18" s="51">
        <f t="shared" si="0"/>
        <v>6</v>
      </c>
      <c r="B18" s="58">
        <f t="shared" si="3"/>
        <v>219333333.33333337</v>
      </c>
      <c r="C18" s="7">
        <f t="shared" si="2"/>
        <v>7666666.666666667</v>
      </c>
      <c r="D18" s="59">
        <f t="shared" si="1"/>
        <v>211666666.66666672</v>
      </c>
    </row>
    <row r="19" spans="1:4" x14ac:dyDescent="0.35">
      <c r="A19" s="51">
        <f t="shared" si="0"/>
        <v>7</v>
      </c>
      <c r="B19" s="58">
        <f t="shared" si="3"/>
        <v>211666666.66666672</v>
      </c>
      <c r="C19" s="7">
        <f t="shared" si="2"/>
        <v>7666666.666666667</v>
      </c>
      <c r="D19" s="59">
        <f t="shared" si="1"/>
        <v>204000000.00000006</v>
      </c>
    </row>
    <row r="20" spans="1:4" x14ac:dyDescent="0.35">
      <c r="A20" s="51">
        <f t="shared" si="0"/>
        <v>8</v>
      </c>
      <c r="B20" s="58">
        <f t="shared" si="3"/>
        <v>204000000.00000006</v>
      </c>
      <c r="C20" s="7">
        <f t="shared" si="2"/>
        <v>7666666.666666667</v>
      </c>
      <c r="D20" s="59">
        <f t="shared" si="1"/>
        <v>196333333.3333334</v>
      </c>
    </row>
    <row r="21" spans="1:4" x14ac:dyDescent="0.35">
      <c r="A21" s="51">
        <f t="shared" si="0"/>
        <v>9</v>
      </c>
      <c r="B21" s="58">
        <f t="shared" si="3"/>
        <v>196333333.3333334</v>
      </c>
      <c r="C21" s="7">
        <f t="shared" si="2"/>
        <v>7666666.666666667</v>
      </c>
      <c r="D21" s="59">
        <f t="shared" si="1"/>
        <v>188666666.66666675</v>
      </c>
    </row>
    <row r="22" spans="1:4" x14ac:dyDescent="0.35">
      <c r="A22" s="51">
        <f t="shared" si="0"/>
        <v>10</v>
      </c>
      <c r="B22" s="58">
        <f t="shared" si="3"/>
        <v>188666666.66666675</v>
      </c>
      <c r="C22" s="7">
        <f t="shared" si="2"/>
        <v>7666666.666666667</v>
      </c>
      <c r="D22" s="59">
        <f t="shared" si="1"/>
        <v>181000000.00000009</v>
      </c>
    </row>
    <row r="23" spans="1:4" x14ac:dyDescent="0.35">
      <c r="A23" s="51">
        <f t="shared" si="0"/>
        <v>11</v>
      </c>
      <c r="B23" s="58">
        <f t="shared" si="3"/>
        <v>181000000.00000009</v>
      </c>
      <c r="C23" s="7">
        <f t="shared" si="2"/>
        <v>7666666.666666667</v>
      </c>
      <c r="D23" s="59">
        <f t="shared" si="1"/>
        <v>173333333.33333343</v>
      </c>
    </row>
    <row r="24" spans="1:4" x14ac:dyDescent="0.35">
      <c r="A24" s="51">
        <f t="shared" si="0"/>
        <v>12</v>
      </c>
      <c r="B24" s="58">
        <f t="shared" si="3"/>
        <v>173333333.33333343</v>
      </c>
      <c r="C24" s="7">
        <f t="shared" si="2"/>
        <v>7666666.666666667</v>
      </c>
      <c r="D24" s="59">
        <f t="shared" si="1"/>
        <v>165666666.66666678</v>
      </c>
    </row>
    <row r="25" spans="1:4" x14ac:dyDescent="0.35">
      <c r="A25" s="51">
        <f t="shared" si="0"/>
        <v>13</v>
      </c>
      <c r="B25" s="58">
        <f t="shared" si="3"/>
        <v>165666666.66666678</v>
      </c>
      <c r="C25" s="7">
        <f t="shared" si="2"/>
        <v>7666666.666666667</v>
      </c>
      <c r="D25" s="59">
        <f t="shared" si="1"/>
        <v>158000000.00000012</v>
      </c>
    </row>
    <row r="26" spans="1:4" x14ac:dyDescent="0.35">
      <c r="A26" s="51">
        <f t="shared" si="0"/>
        <v>14</v>
      </c>
      <c r="B26" s="58">
        <f t="shared" si="3"/>
        <v>158000000.00000012</v>
      </c>
      <c r="C26" s="7">
        <f t="shared" si="2"/>
        <v>7666666.666666667</v>
      </c>
      <c r="D26" s="59">
        <f t="shared" si="1"/>
        <v>150333333.33333346</v>
      </c>
    </row>
    <row r="27" spans="1:4" x14ac:dyDescent="0.35">
      <c r="A27" s="51">
        <f t="shared" si="0"/>
        <v>15</v>
      </c>
      <c r="B27" s="58">
        <f t="shared" si="3"/>
        <v>150333333.33333346</v>
      </c>
      <c r="C27" s="7">
        <f t="shared" si="2"/>
        <v>7666666.666666667</v>
      </c>
      <c r="D27" s="59">
        <f t="shared" si="1"/>
        <v>142666666.66666681</v>
      </c>
    </row>
    <row r="28" spans="1:4" x14ac:dyDescent="0.35">
      <c r="A28" s="51">
        <f t="shared" si="0"/>
        <v>16</v>
      </c>
      <c r="B28" s="58">
        <f t="shared" si="3"/>
        <v>142666666.66666681</v>
      </c>
      <c r="C28" s="7">
        <f t="shared" si="2"/>
        <v>7666666.666666667</v>
      </c>
      <c r="D28" s="59">
        <f t="shared" si="1"/>
        <v>135000000.00000015</v>
      </c>
    </row>
    <row r="29" spans="1:4" x14ac:dyDescent="0.35">
      <c r="A29" s="51">
        <f t="shared" si="0"/>
        <v>17</v>
      </c>
      <c r="B29" s="58">
        <f t="shared" si="3"/>
        <v>135000000.00000015</v>
      </c>
      <c r="C29" s="7">
        <f t="shared" si="2"/>
        <v>7666666.666666667</v>
      </c>
      <c r="D29" s="59">
        <f t="shared" si="1"/>
        <v>127333333.33333348</v>
      </c>
    </row>
    <row r="30" spans="1:4" x14ac:dyDescent="0.35">
      <c r="A30" s="51">
        <f t="shared" si="0"/>
        <v>18</v>
      </c>
      <c r="B30" s="58">
        <f>D29</f>
        <v>127333333.33333348</v>
      </c>
      <c r="C30" s="7">
        <f t="shared" si="2"/>
        <v>7666666.666666667</v>
      </c>
      <c r="D30" s="59">
        <f t="shared" si="1"/>
        <v>119666666.66666681</v>
      </c>
    </row>
    <row r="31" spans="1:4" x14ac:dyDescent="0.35">
      <c r="A31" s="51">
        <f t="shared" si="0"/>
        <v>19</v>
      </c>
      <c r="B31" s="58">
        <f t="shared" si="3"/>
        <v>119666666.66666681</v>
      </c>
      <c r="C31" s="7">
        <f t="shared" si="2"/>
        <v>7666666.666666667</v>
      </c>
      <c r="D31" s="59">
        <f t="shared" si="1"/>
        <v>112000000.00000013</v>
      </c>
    </row>
    <row r="32" spans="1:4" x14ac:dyDescent="0.35">
      <c r="A32" s="51">
        <f t="shared" si="0"/>
        <v>20</v>
      </c>
      <c r="B32" s="58">
        <f t="shared" si="3"/>
        <v>112000000.00000013</v>
      </c>
      <c r="C32" s="7">
        <f t="shared" si="2"/>
        <v>7666666.666666667</v>
      </c>
      <c r="D32" s="59">
        <f t="shared" si="1"/>
        <v>104333333.33333346</v>
      </c>
    </row>
    <row r="33" spans="1:9" x14ac:dyDescent="0.35">
      <c r="A33" s="51">
        <f t="shared" si="0"/>
        <v>21</v>
      </c>
      <c r="B33" s="58">
        <f t="shared" si="3"/>
        <v>104333333.33333346</v>
      </c>
      <c r="C33" s="7">
        <f t="shared" si="2"/>
        <v>7666666.666666667</v>
      </c>
      <c r="D33" s="59">
        <f t="shared" si="1"/>
        <v>96666666.666666791</v>
      </c>
    </row>
    <row r="34" spans="1:9" x14ac:dyDescent="0.35">
      <c r="A34" s="51">
        <f t="shared" si="0"/>
        <v>22</v>
      </c>
      <c r="B34" s="58">
        <f t="shared" si="3"/>
        <v>96666666.666666791</v>
      </c>
      <c r="C34" s="7">
        <f t="shared" si="2"/>
        <v>7666666.666666667</v>
      </c>
      <c r="D34" s="59">
        <f t="shared" si="1"/>
        <v>89000000.000000119</v>
      </c>
    </row>
    <row r="35" spans="1:9" x14ac:dyDescent="0.35">
      <c r="A35" s="51">
        <f t="shared" si="0"/>
        <v>23</v>
      </c>
      <c r="B35" s="58">
        <f t="shared" si="3"/>
        <v>89000000.000000119</v>
      </c>
      <c r="C35" s="7">
        <f t="shared" si="2"/>
        <v>7666666.666666667</v>
      </c>
      <c r="D35" s="59">
        <f t="shared" si="1"/>
        <v>81333333.333333448</v>
      </c>
    </row>
    <row r="36" spans="1:9" x14ac:dyDescent="0.35">
      <c r="A36" s="51">
        <f t="shared" si="0"/>
        <v>24</v>
      </c>
      <c r="B36" s="58">
        <f t="shared" si="3"/>
        <v>81333333.333333448</v>
      </c>
      <c r="C36" s="7">
        <f t="shared" si="2"/>
        <v>7666666.666666667</v>
      </c>
      <c r="D36" s="59">
        <f t="shared" si="1"/>
        <v>73666666.666666776</v>
      </c>
    </row>
    <row r="37" spans="1:9" x14ac:dyDescent="0.35">
      <c r="A37" s="51">
        <f t="shared" si="0"/>
        <v>25</v>
      </c>
      <c r="B37" s="58">
        <f t="shared" si="3"/>
        <v>73666666.666666776</v>
      </c>
      <c r="C37" s="7">
        <f t="shared" si="2"/>
        <v>7666666.666666667</v>
      </c>
      <c r="D37" s="59">
        <f t="shared" si="1"/>
        <v>66000000.000000112</v>
      </c>
    </row>
    <row r="38" spans="1:9" x14ac:dyDescent="0.35">
      <c r="A38" s="51">
        <f t="shared" si="0"/>
        <v>26</v>
      </c>
      <c r="B38" s="58">
        <f t="shared" si="3"/>
        <v>66000000.000000112</v>
      </c>
      <c r="C38" s="7">
        <f t="shared" si="2"/>
        <v>7666666.666666667</v>
      </c>
      <c r="D38" s="59">
        <f t="shared" si="1"/>
        <v>58333333.333333448</v>
      </c>
    </row>
    <row r="39" spans="1:9" x14ac:dyDescent="0.35">
      <c r="A39" s="51">
        <f t="shared" si="0"/>
        <v>27</v>
      </c>
      <c r="B39" s="58">
        <f t="shared" si="3"/>
        <v>58333333.333333448</v>
      </c>
      <c r="C39" s="7">
        <f t="shared" si="2"/>
        <v>7666666.666666667</v>
      </c>
      <c r="D39" s="59">
        <f t="shared" si="1"/>
        <v>50666666.666666783</v>
      </c>
    </row>
    <row r="40" spans="1:9" x14ac:dyDescent="0.35">
      <c r="A40" s="51">
        <f t="shared" si="0"/>
        <v>28</v>
      </c>
      <c r="B40" s="58">
        <f t="shared" si="3"/>
        <v>50666666.666666783</v>
      </c>
      <c r="C40" s="7">
        <f t="shared" si="2"/>
        <v>7666666.666666667</v>
      </c>
      <c r="D40" s="59">
        <f t="shared" si="1"/>
        <v>43000000.000000119</v>
      </c>
    </row>
    <row r="41" spans="1:9" x14ac:dyDescent="0.35">
      <c r="A41" s="51">
        <f t="shared" si="0"/>
        <v>29</v>
      </c>
      <c r="B41" s="58">
        <f t="shared" si="3"/>
        <v>43000000.000000119</v>
      </c>
      <c r="C41" s="7">
        <f t="shared" si="2"/>
        <v>7666666.666666667</v>
      </c>
      <c r="D41" s="59">
        <f t="shared" si="1"/>
        <v>35333333.333333455</v>
      </c>
    </row>
    <row r="42" spans="1:9" x14ac:dyDescent="0.35">
      <c r="A42" s="51">
        <f t="shared" si="0"/>
        <v>30</v>
      </c>
      <c r="B42" s="58">
        <f t="shared" si="3"/>
        <v>35333333.333333455</v>
      </c>
      <c r="C42" s="7">
        <f t="shared" si="2"/>
        <v>7666666.666666667</v>
      </c>
      <c r="D42" s="59">
        <f t="shared" si="1"/>
        <v>27666666.666666787</v>
      </c>
    </row>
    <row r="43" spans="1:9" x14ac:dyDescent="0.35">
      <c r="A43" s="52">
        <f t="shared" si="0"/>
        <v>31</v>
      </c>
      <c r="B43" s="60">
        <f t="shared" si="3"/>
        <v>27666666.666666787</v>
      </c>
      <c r="C43" s="12">
        <f t="shared" si="2"/>
        <v>7666666.666666667</v>
      </c>
      <c r="D43" s="61">
        <f t="shared" si="1"/>
        <v>20000000.000000119</v>
      </c>
    </row>
    <row r="44" spans="1:9" x14ac:dyDescent="0.35">
      <c r="A44" s="13"/>
    </row>
    <row r="45" spans="1:9" x14ac:dyDescent="0.35">
      <c r="A45" s="74" t="s">
        <v>141</v>
      </c>
    </row>
    <row r="46" spans="1:9" ht="29" x14ac:dyDescent="0.35">
      <c r="A46" s="139" t="s">
        <v>108</v>
      </c>
      <c r="B46" s="142" t="s">
        <v>142</v>
      </c>
      <c r="C46" s="142" t="s">
        <v>143</v>
      </c>
      <c r="D46" s="142" t="s">
        <v>144</v>
      </c>
      <c r="E46" s="142" t="s">
        <v>145</v>
      </c>
      <c r="F46" s="142" t="s">
        <v>146</v>
      </c>
      <c r="G46" s="142" t="s">
        <v>147</v>
      </c>
      <c r="H46" s="142" t="s">
        <v>148</v>
      </c>
      <c r="I46" s="220" t="s">
        <v>149</v>
      </c>
    </row>
    <row r="47" spans="1:9" x14ac:dyDescent="0.35">
      <c r="A47" s="51">
        <f>Increment</f>
        <v>1</v>
      </c>
      <c r="B47" s="177"/>
      <c r="C47" s="177"/>
      <c r="D47" s="177"/>
      <c r="E47" s="177"/>
      <c r="F47" s="177"/>
      <c r="G47" s="177"/>
      <c r="H47" s="177"/>
      <c r="I47" s="178"/>
    </row>
    <row r="48" spans="1:9" x14ac:dyDescent="0.35">
      <c r="A48" s="51">
        <f t="shared" ref="A48:A77" si="4">A47+Increment</f>
        <v>2</v>
      </c>
      <c r="B48" s="58">
        <f>Total_Crew_Costs</f>
        <v>3500000</v>
      </c>
      <c r="C48" s="58" cm="1">
        <f t="array" ref="C48">B48/(Increment+Employer_Social_Insurance_Rate)</f>
        <v>3070175.4385964908</v>
      </c>
      <c r="D48" s="58" cm="1">
        <f t="array" ref="D48">C48*Employer_Social_Insurance_Rate</f>
        <v>429824.56140350876</v>
      </c>
      <c r="E48" s="58" cm="1">
        <f t="array" ref="E48">C48*Employee_Deduction_Rate</f>
        <v>214912.28070175438</v>
      </c>
      <c r="F48" s="58">
        <f>C48-E48</f>
        <v>2855263.1578947362</v>
      </c>
      <c r="G48" s="58">
        <f>E48+D48</f>
        <v>644736.84210526315</v>
      </c>
      <c r="H48" s="58">
        <f t="shared" ref="H48:H77" si="5">F48/M_i_Y</f>
        <v>237938.596491228</v>
      </c>
      <c r="I48" s="150">
        <f t="shared" ref="I48:I77" si="6">G48/M_i_Y</f>
        <v>53728.070175438595</v>
      </c>
    </row>
    <row r="49" spans="1:9" x14ac:dyDescent="0.35">
      <c r="A49" s="51">
        <f t="shared" si="4"/>
        <v>3</v>
      </c>
      <c r="B49" s="58">
        <f t="shared" ref="B49:B77" si="7">B48*(Increment+Inflation_Annual)</f>
        <v>3552499.9999999995</v>
      </c>
      <c r="C49" s="58" cm="1">
        <f t="array" ref="C49">B49/(Increment+Employer_Social_Insurance_Rate)</f>
        <v>3116228.0701754377</v>
      </c>
      <c r="D49" s="58" cm="1">
        <f t="array" ref="D49">C49*Employer_Social_Insurance_Rate</f>
        <v>436271.92982456135</v>
      </c>
      <c r="E49" s="58" cm="1">
        <f t="array" ref="E49">C49*Employee_Deduction_Rate</f>
        <v>218135.96491228067</v>
      </c>
      <c r="F49" s="58">
        <f t="shared" ref="F49:F77" si="8">C49-E49</f>
        <v>2898092.1052631568</v>
      </c>
      <c r="G49" s="58">
        <f t="shared" ref="G49:G77" si="9">E49+D49</f>
        <v>654407.89473684202</v>
      </c>
      <c r="H49" s="58">
        <f t="shared" si="5"/>
        <v>241507.6754385964</v>
      </c>
      <c r="I49" s="150">
        <f t="shared" si="6"/>
        <v>54533.991228070168</v>
      </c>
    </row>
    <row r="50" spans="1:9" x14ac:dyDescent="0.35">
      <c r="A50" s="51">
        <f t="shared" si="4"/>
        <v>4</v>
      </c>
      <c r="B50" s="58">
        <f t="shared" si="7"/>
        <v>3605787.4999999991</v>
      </c>
      <c r="C50" s="58" cm="1">
        <f t="array" ref="C50">B50/(Increment+Employer_Social_Insurance_Rate)</f>
        <v>3162971.4912280692</v>
      </c>
      <c r="D50" s="58" cm="1">
        <f t="array" ref="D50">C50*Employer_Social_Insurance_Rate</f>
        <v>442816.00877192972</v>
      </c>
      <c r="E50" s="58" cm="1">
        <f t="array" ref="E50">C50*Employee_Deduction_Rate</f>
        <v>221408.00438596486</v>
      </c>
      <c r="F50" s="58">
        <f t="shared" si="8"/>
        <v>2941563.4868421042</v>
      </c>
      <c r="G50" s="58">
        <f t="shared" si="9"/>
        <v>664224.0131578946</v>
      </c>
      <c r="H50" s="58">
        <f t="shared" si="5"/>
        <v>245130.29057017536</v>
      </c>
      <c r="I50" s="150">
        <f t="shared" si="6"/>
        <v>55352.001096491214</v>
      </c>
    </row>
    <row r="51" spans="1:9" x14ac:dyDescent="0.35">
      <c r="A51" s="51">
        <f t="shared" si="4"/>
        <v>5</v>
      </c>
      <c r="B51" s="58">
        <f t="shared" si="7"/>
        <v>3659874.3124999986</v>
      </c>
      <c r="C51" s="58" cm="1">
        <f t="array" ref="C51">B51/(Increment+Employer_Social_Insurance_Rate)</f>
        <v>3210416.0635964898</v>
      </c>
      <c r="D51" s="58" cm="1">
        <f t="array" ref="D51">C51*Employer_Social_Insurance_Rate</f>
        <v>449458.24890350865</v>
      </c>
      <c r="E51" s="58" cm="1">
        <f t="array" ref="E51">C51*Employee_Deduction_Rate</f>
        <v>224729.12445175432</v>
      </c>
      <c r="F51" s="58">
        <f t="shared" si="8"/>
        <v>2985686.9391447357</v>
      </c>
      <c r="G51" s="58">
        <f t="shared" si="9"/>
        <v>674187.37335526291</v>
      </c>
      <c r="H51" s="58">
        <f t="shared" si="5"/>
        <v>248807.24492872797</v>
      </c>
      <c r="I51" s="150">
        <f t="shared" si="6"/>
        <v>56182.281112938574</v>
      </c>
    </row>
    <row r="52" spans="1:9" x14ac:dyDescent="0.35">
      <c r="A52" s="51">
        <f t="shared" si="4"/>
        <v>6</v>
      </c>
      <c r="B52" s="58">
        <f t="shared" si="7"/>
        <v>3714772.4271874982</v>
      </c>
      <c r="C52" s="58" cm="1">
        <f t="array" ref="C52">B52/(Increment+Employer_Social_Insurance_Rate)</f>
        <v>3258572.3045504368</v>
      </c>
      <c r="D52" s="58" cm="1">
        <f t="array" ref="D52">C52*Employer_Social_Insurance_Rate</f>
        <v>456200.12263706117</v>
      </c>
      <c r="E52" s="58" cm="1">
        <f t="array" ref="E52">C52*Employee_Deduction_Rate</f>
        <v>228100.06131853058</v>
      </c>
      <c r="F52" s="58">
        <f t="shared" si="8"/>
        <v>3030472.2432319061</v>
      </c>
      <c r="G52" s="58">
        <f t="shared" si="9"/>
        <v>684300.18395559175</v>
      </c>
      <c r="H52" s="58">
        <f t="shared" si="5"/>
        <v>252539.35360265884</v>
      </c>
      <c r="I52" s="150">
        <f t="shared" si="6"/>
        <v>57025.015329632646</v>
      </c>
    </row>
    <row r="53" spans="1:9" x14ac:dyDescent="0.35">
      <c r="A53" s="51">
        <f t="shared" si="4"/>
        <v>7</v>
      </c>
      <c r="B53" s="58">
        <f t="shared" si="7"/>
        <v>3770494.0135953105</v>
      </c>
      <c r="C53" s="58" cm="1">
        <f t="array" ref="C53">B53/(Increment+Employer_Social_Insurance_Rate)</f>
        <v>3307450.8891186928</v>
      </c>
      <c r="D53" s="58" cm="1">
        <f t="array" ref="D53">C53*Employer_Social_Insurance_Rate</f>
        <v>463043.12447661703</v>
      </c>
      <c r="E53" s="58" cm="1">
        <f t="array" ref="E53">C53*Employee_Deduction_Rate</f>
        <v>231521.56223830851</v>
      </c>
      <c r="F53" s="58">
        <f t="shared" si="8"/>
        <v>3075929.3268803842</v>
      </c>
      <c r="G53" s="58">
        <f t="shared" si="9"/>
        <v>694564.68671492557</v>
      </c>
      <c r="H53" s="58">
        <f t="shared" si="5"/>
        <v>256327.4439066987</v>
      </c>
      <c r="I53" s="150">
        <f t="shared" si="6"/>
        <v>57880.390559577128</v>
      </c>
    </row>
    <row r="54" spans="1:9" x14ac:dyDescent="0.35">
      <c r="A54" s="51">
        <f t="shared" si="4"/>
        <v>8</v>
      </c>
      <c r="B54" s="58">
        <f t="shared" si="7"/>
        <v>3827051.4237992396</v>
      </c>
      <c r="C54" s="58" cm="1">
        <f t="array" ref="C54">B54/(Increment+Employer_Social_Insurance_Rate)</f>
        <v>3357062.6524554729</v>
      </c>
      <c r="D54" s="58" cm="1">
        <f t="array" ref="D54">C54*Employer_Social_Insurance_Rate</f>
        <v>469988.77134376625</v>
      </c>
      <c r="E54" s="58" cm="1">
        <f t="array" ref="E54">C54*Employee_Deduction_Rate</f>
        <v>234994.38567188312</v>
      </c>
      <c r="F54" s="58">
        <f t="shared" si="8"/>
        <v>3122068.2667835895</v>
      </c>
      <c r="G54" s="58">
        <f t="shared" si="9"/>
        <v>704983.15701564937</v>
      </c>
      <c r="H54" s="58">
        <f t="shared" si="5"/>
        <v>260172.35556529913</v>
      </c>
      <c r="I54" s="150">
        <f t="shared" si="6"/>
        <v>58748.596417970781</v>
      </c>
    </row>
    <row r="55" spans="1:9" x14ac:dyDescent="0.35">
      <c r="A55" s="51">
        <f t="shared" si="4"/>
        <v>9</v>
      </c>
      <c r="B55" s="58">
        <f t="shared" si="7"/>
        <v>3884457.1951562278</v>
      </c>
      <c r="C55" s="58" cm="1">
        <f t="array" ref="C55">B55/(Increment+Employer_Social_Insurance_Rate)</f>
        <v>3407418.5922423047</v>
      </c>
      <c r="D55" s="58" cm="1">
        <f t="array" ref="D55">C55*Employer_Social_Insurance_Rate</f>
        <v>477038.60291392269</v>
      </c>
      <c r="E55" s="58" cm="1">
        <f t="array" ref="E55">C55*Employee_Deduction_Rate</f>
        <v>238519.30145696134</v>
      </c>
      <c r="F55" s="58">
        <f t="shared" si="8"/>
        <v>3168899.2907853434</v>
      </c>
      <c r="G55" s="58">
        <f t="shared" si="9"/>
        <v>715557.90437088406</v>
      </c>
      <c r="H55" s="58">
        <f t="shared" si="5"/>
        <v>264074.94089877862</v>
      </c>
      <c r="I55" s="150">
        <f t="shared" si="6"/>
        <v>59629.825364240336</v>
      </c>
    </row>
    <row r="56" spans="1:9" x14ac:dyDescent="0.35">
      <c r="A56" s="51">
        <f t="shared" si="4"/>
        <v>10</v>
      </c>
      <c r="B56" s="58">
        <f t="shared" si="7"/>
        <v>3942724.0530835707</v>
      </c>
      <c r="C56" s="58" cm="1">
        <f t="array" ref="C56">B56/(Increment+Employer_Social_Insurance_Rate)</f>
        <v>3458529.8711259388</v>
      </c>
      <c r="D56" s="58" cm="1">
        <f t="array" ref="D56">C56*Employer_Social_Insurance_Rate</f>
        <v>484194.18195763149</v>
      </c>
      <c r="E56" s="58" cm="1">
        <f t="array" ref="E56">C56*Employee_Deduction_Rate</f>
        <v>242097.09097881574</v>
      </c>
      <c r="F56" s="58">
        <f t="shared" si="8"/>
        <v>3216432.7801471232</v>
      </c>
      <c r="G56" s="58">
        <f t="shared" si="9"/>
        <v>726291.27293644729</v>
      </c>
      <c r="H56" s="58">
        <f t="shared" si="5"/>
        <v>268036.06501226028</v>
      </c>
      <c r="I56" s="150">
        <f t="shared" si="6"/>
        <v>60524.272744703943</v>
      </c>
    </row>
    <row r="57" spans="1:9" x14ac:dyDescent="0.35">
      <c r="A57" s="51">
        <f t="shared" si="4"/>
        <v>11</v>
      </c>
      <c r="B57" s="58">
        <f t="shared" si="7"/>
        <v>4001864.9138798239</v>
      </c>
      <c r="C57" s="58" cm="1">
        <f t="array" ref="C57">B57/(Increment+Employer_Social_Insurance_Rate)</f>
        <v>3510407.8191928277</v>
      </c>
      <c r="D57" s="58" cm="1">
        <f t="array" ref="D57">C57*Employer_Social_Insurance_Rate</f>
        <v>491457.0946869959</v>
      </c>
      <c r="E57" s="58" cm="1">
        <f t="array" ref="E57">C57*Employee_Deduction_Rate</f>
        <v>245728.54734349795</v>
      </c>
      <c r="F57" s="58">
        <f t="shared" si="8"/>
        <v>3264679.2718493296</v>
      </c>
      <c r="G57" s="58">
        <f t="shared" si="9"/>
        <v>737185.64203049382</v>
      </c>
      <c r="H57" s="58">
        <f t="shared" si="5"/>
        <v>272056.60598744411</v>
      </c>
      <c r="I57" s="150">
        <f t="shared" si="6"/>
        <v>61432.136835874488</v>
      </c>
    </row>
    <row r="58" spans="1:9" x14ac:dyDescent="0.35">
      <c r="A58" s="51">
        <f t="shared" si="4"/>
        <v>12</v>
      </c>
      <c r="B58" s="58">
        <f t="shared" si="7"/>
        <v>4061892.8875880209</v>
      </c>
      <c r="C58" s="58" cm="1">
        <f t="array" ref="C58">B58/(Increment+Employer_Social_Insurance_Rate)</f>
        <v>3563063.9364807196</v>
      </c>
      <c r="D58" s="58" cm="1">
        <f t="array" ref="D58">C58*Employer_Social_Insurance_Rate</f>
        <v>498828.95110730082</v>
      </c>
      <c r="E58" s="58" cm="1">
        <f t="array" ref="E58">C58*Employee_Deduction_Rate</f>
        <v>249414.47555365041</v>
      </c>
      <c r="F58" s="58">
        <f t="shared" si="8"/>
        <v>3313649.4609270692</v>
      </c>
      <c r="G58" s="58">
        <f t="shared" si="9"/>
        <v>748243.42666095123</v>
      </c>
      <c r="H58" s="58">
        <f t="shared" si="5"/>
        <v>276137.45507725578</v>
      </c>
      <c r="I58" s="150">
        <f t="shared" si="6"/>
        <v>62353.618888412602</v>
      </c>
    </row>
    <row r="59" spans="1:9" x14ac:dyDescent="0.35">
      <c r="A59" s="51">
        <f t="shared" si="4"/>
        <v>13</v>
      </c>
      <c r="B59" s="58">
        <f t="shared" si="7"/>
        <v>4122821.2809018409</v>
      </c>
      <c r="C59" s="58" cm="1">
        <f t="array" ref="C59">B59/(Increment+Employer_Social_Insurance_Rate)</f>
        <v>3616509.89552793</v>
      </c>
      <c r="D59" s="58" cm="1">
        <f t="array" ref="D59">C59*Employer_Social_Insurance_Rate</f>
        <v>506311.38537391025</v>
      </c>
      <c r="E59" s="58" cm="1">
        <f t="array" ref="E59">C59*Employee_Deduction_Rate</f>
        <v>253155.69268695512</v>
      </c>
      <c r="F59" s="58">
        <f t="shared" si="8"/>
        <v>3363354.202840975</v>
      </c>
      <c r="G59" s="58">
        <f t="shared" si="9"/>
        <v>759467.0780608654</v>
      </c>
      <c r="H59" s="58">
        <f t="shared" si="5"/>
        <v>280279.51690341457</v>
      </c>
      <c r="I59" s="150">
        <f t="shared" si="6"/>
        <v>63288.923171738781</v>
      </c>
    </row>
    <row r="60" spans="1:9" x14ac:dyDescent="0.35">
      <c r="A60" s="51">
        <f t="shared" si="4"/>
        <v>14</v>
      </c>
      <c r="B60" s="58">
        <f t="shared" si="7"/>
        <v>4184663.6001153681</v>
      </c>
      <c r="C60" s="58" cm="1">
        <f t="array" ref="C60">B60/(Increment+Employer_Social_Insurance_Rate)</f>
        <v>3670757.5439608488</v>
      </c>
      <c r="D60" s="58" cm="1">
        <f t="array" ref="D60">C60*Employer_Social_Insurance_Rate</f>
        <v>513906.05615451891</v>
      </c>
      <c r="E60" s="58" cm="1">
        <f t="array" ref="E60">C60*Employee_Deduction_Rate</f>
        <v>256953.02807725946</v>
      </c>
      <c r="F60" s="58">
        <f t="shared" si="8"/>
        <v>3413804.5158835892</v>
      </c>
      <c r="G60" s="58">
        <f t="shared" si="9"/>
        <v>770859.0842317784</v>
      </c>
      <c r="H60" s="58">
        <f t="shared" si="5"/>
        <v>284483.70965696574</v>
      </c>
      <c r="I60" s="150">
        <f t="shared" si="6"/>
        <v>64238.257019314864</v>
      </c>
    </row>
    <row r="61" spans="1:9" x14ac:dyDescent="0.35">
      <c r="A61" s="51">
        <f t="shared" si="4"/>
        <v>15</v>
      </c>
      <c r="B61" s="58">
        <f t="shared" si="7"/>
        <v>4247433.5541170985</v>
      </c>
      <c r="C61" s="58" cm="1">
        <f t="array" ref="C61">B61/(Increment+Employer_Social_Insurance_Rate)</f>
        <v>3725818.9071202613</v>
      </c>
      <c r="D61" s="58" cm="1">
        <f t="array" ref="D61">C61*Employer_Social_Insurance_Rate</f>
        <v>521614.64699683664</v>
      </c>
      <c r="E61" s="58" cm="1">
        <f t="array" ref="E61">C61*Employee_Deduction_Rate</f>
        <v>260807.32349841832</v>
      </c>
      <c r="F61" s="58">
        <f t="shared" si="8"/>
        <v>3465011.5836218428</v>
      </c>
      <c r="G61" s="58">
        <f t="shared" si="9"/>
        <v>782421.97049525497</v>
      </c>
      <c r="H61" s="58">
        <f t="shared" si="5"/>
        <v>288750.96530182025</v>
      </c>
      <c r="I61" s="150">
        <f t="shared" si="6"/>
        <v>65201.83087460458</v>
      </c>
    </row>
    <row r="62" spans="1:9" x14ac:dyDescent="0.35">
      <c r="A62" s="51">
        <f t="shared" si="4"/>
        <v>16</v>
      </c>
      <c r="B62" s="58">
        <f t="shared" si="7"/>
        <v>4311145.0574288545</v>
      </c>
      <c r="C62" s="58" cm="1">
        <f t="array" ref="C62">B62/(Increment+Employer_Social_Insurance_Rate)</f>
        <v>3781706.1907270649</v>
      </c>
      <c r="D62" s="58" cm="1">
        <f t="array" ref="D62">C62*Employer_Social_Insurance_Rate</f>
        <v>529438.86670178908</v>
      </c>
      <c r="E62" s="58" cm="1">
        <f t="array" ref="E62">C62*Employee_Deduction_Rate</f>
        <v>264719.43335089454</v>
      </c>
      <c r="F62" s="58">
        <f t="shared" si="8"/>
        <v>3516986.7573761703</v>
      </c>
      <c r="G62" s="58">
        <f t="shared" si="9"/>
        <v>794158.30005268357</v>
      </c>
      <c r="H62" s="58">
        <f t="shared" si="5"/>
        <v>293082.2297813475</v>
      </c>
      <c r="I62" s="150">
        <f t="shared" si="6"/>
        <v>66179.858337723635</v>
      </c>
    </row>
    <row r="63" spans="1:9" x14ac:dyDescent="0.35">
      <c r="A63" s="51">
        <f t="shared" si="4"/>
        <v>17</v>
      </c>
      <c r="B63" s="58">
        <f t="shared" si="7"/>
        <v>4375812.2332902867</v>
      </c>
      <c r="C63" s="58" cm="1">
        <f t="array" ref="C63">B63/(Increment+Employer_Social_Insurance_Rate)</f>
        <v>3838431.7835879703</v>
      </c>
      <c r="D63" s="58" cm="1">
        <f t="array" ref="D63">C63*Employer_Social_Insurance_Rate</f>
        <v>537380.44970231585</v>
      </c>
      <c r="E63" s="58" cm="1">
        <f t="array" ref="E63">C63*Employee_Deduction_Rate</f>
        <v>268690.22485115792</v>
      </c>
      <c r="F63" s="58">
        <f t="shared" si="8"/>
        <v>3569741.5587368123</v>
      </c>
      <c r="G63" s="58">
        <f t="shared" si="9"/>
        <v>806070.67455347371</v>
      </c>
      <c r="H63" s="58">
        <f t="shared" si="5"/>
        <v>297478.46322806767</v>
      </c>
      <c r="I63" s="150">
        <f t="shared" si="6"/>
        <v>67172.556212789481</v>
      </c>
    </row>
    <row r="64" spans="1:9" x14ac:dyDescent="0.35">
      <c r="A64" s="51">
        <f t="shared" si="4"/>
        <v>18</v>
      </c>
      <c r="B64" s="58">
        <f t="shared" si="7"/>
        <v>4441449.4167896407</v>
      </c>
      <c r="C64" s="58" cm="1">
        <f t="array" ref="C64">B64/(Increment+Employer_Social_Insurance_Rate)</f>
        <v>3896008.2603417896</v>
      </c>
      <c r="D64" s="58" cm="1">
        <f t="array" ref="D64">C64*Employer_Social_Insurance_Rate</f>
        <v>545441.15644785063</v>
      </c>
      <c r="E64" s="58" cm="1">
        <f t="array" ref="E64">C64*Employee_Deduction_Rate</f>
        <v>272720.57822392532</v>
      </c>
      <c r="F64" s="58">
        <f t="shared" si="8"/>
        <v>3623287.6821178645</v>
      </c>
      <c r="G64" s="58">
        <f t="shared" si="9"/>
        <v>818161.73467177595</v>
      </c>
      <c r="H64" s="58">
        <f t="shared" si="5"/>
        <v>301940.64017648873</v>
      </c>
      <c r="I64" s="150">
        <f t="shared" si="6"/>
        <v>68180.144555981329</v>
      </c>
    </row>
    <row r="65" spans="1:9" x14ac:dyDescent="0.35">
      <c r="A65" s="51">
        <f t="shared" si="4"/>
        <v>19</v>
      </c>
      <c r="B65" s="58">
        <f t="shared" si="7"/>
        <v>4508071.1580414847</v>
      </c>
      <c r="C65" s="58" cm="1">
        <f t="array" ref="C65">B65/(Increment+Employer_Social_Insurance_Rate)</f>
        <v>3954448.384246916</v>
      </c>
      <c r="D65" s="58" cm="1">
        <f t="array" ref="D65">C65*Employer_Social_Insurance_Rate</f>
        <v>553622.77379456826</v>
      </c>
      <c r="E65" s="58" cm="1">
        <f t="array" ref="E65">C65*Employee_Deduction_Rate</f>
        <v>276811.38689728413</v>
      </c>
      <c r="F65" s="58">
        <f t="shared" si="8"/>
        <v>3677636.997349632</v>
      </c>
      <c r="G65" s="58">
        <f t="shared" si="9"/>
        <v>830434.16069185245</v>
      </c>
      <c r="H65" s="58">
        <f t="shared" si="5"/>
        <v>306469.74977913598</v>
      </c>
      <c r="I65" s="150">
        <f t="shared" si="6"/>
        <v>69202.846724321033</v>
      </c>
    </row>
    <row r="66" spans="1:9" x14ac:dyDescent="0.35">
      <c r="A66" s="51">
        <f t="shared" si="4"/>
        <v>20</v>
      </c>
      <c r="B66" s="58">
        <f t="shared" si="7"/>
        <v>4575692.2254121061</v>
      </c>
      <c r="C66" s="58" cm="1">
        <f t="array" ref="C66">B66/(Increment+Employer_Social_Insurance_Rate)</f>
        <v>4013765.1100106188</v>
      </c>
      <c r="D66" s="58" cm="1">
        <f t="array" ref="D66">C66*Employer_Social_Insurance_Rate</f>
        <v>561927.11540148663</v>
      </c>
      <c r="E66" s="58" cm="1">
        <f t="array" ref="E66">C66*Employee_Deduction_Rate</f>
        <v>280963.55770074332</v>
      </c>
      <c r="F66" s="58">
        <f t="shared" si="8"/>
        <v>3732801.5523098754</v>
      </c>
      <c r="G66" s="58">
        <f t="shared" si="9"/>
        <v>842890.67310222995</v>
      </c>
      <c r="H66" s="58">
        <f t="shared" si="5"/>
        <v>311066.79602582293</v>
      </c>
      <c r="I66" s="150">
        <f t="shared" si="6"/>
        <v>70240.889425185829</v>
      </c>
    </row>
    <row r="67" spans="1:9" x14ac:dyDescent="0.35">
      <c r="A67" s="51">
        <f t="shared" si="4"/>
        <v>21</v>
      </c>
      <c r="B67" s="58">
        <f t="shared" si="7"/>
        <v>4644327.6087932875</v>
      </c>
      <c r="C67" s="58" cm="1">
        <f t="array" ref="C67">B67/(Increment+Employer_Social_Insurance_Rate)</f>
        <v>4073971.5866607781</v>
      </c>
      <c r="D67" s="58" cm="1">
        <f t="array" ref="D67">C67*Employer_Social_Insurance_Rate</f>
        <v>570356.02213250904</v>
      </c>
      <c r="E67" s="58" cm="1">
        <f t="array" ref="E67">C67*Employee_Deduction_Rate</f>
        <v>285178.01106625452</v>
      </c>
      <c r="F67" s="58">
        <f t="shared" si="8"/>
        <v>3788793.5755945235</v>
      </c>
      <c r="G67" s="58">
        <f t="shared" si="9"/>
        <v>855534.03319876362</v>
      </c>
      <c r="H67" s="58">
        <f t="shared" si="5"/>
        <v>315732.79796621029</v>
      </c>
      <c r="I67" s="150">
        <f t="shared" si="6"/>
        <v>71294.50276656363</v>
      </c>
    </row>
    <row r="68" spans="1:9" x14ac:dyDescent="0.35">
      <c r="A68" s="51">
        <f t="shared" si="4"/>
        <v>22</v>
      </c>
      <c r="B68" s="58">
        <f t="shared" si="7"/>
        <v>4713992.522925186</v>
      </c>
      <c r="C68" s="58" cm="1">
        <f t="array" ref="C68">B68/(Increment+Employer_Social_Insurance_Rate)</f>
        <v>4135081.1604606891</v>
      </c>
      <c r="D68" s="58" cm="1">
        <f t="array" ref="D68">C68*Employer_Social_Insurance_Rate</f>
        <v>578911.36246449652</v>
      </c>
      <c r="E68" s="58" cm="1">
        <f t="array" ref="E68">C68*Employee_Deduction_Rate</f>
        <v>289455.68123224826</v>
      </c>
      <c r="F68" s="58">
        <f t="shared" si="8"/>
        <v>3845625.4792284407</v>
      </c>
      <c r="G68" s="58">
        <f t="shared" si="9"/>
        <v>868367.04369674483</v>
      </c>
      <c r="H68" s="58">
        <f t="shared" si="5"/>
        <v>320468.78993570339</v>
      </c>
      <c r="I68" s="150">
        <f t="shared" si="6"/>
        <v>72363.920308062065</v>
      </c>
    </row>
    <row r="69" spans="1:9" x14ac:dyDescent="0.35">
      <c r="A69" s="51">
        <f t="shared" si="4"/>
        <v>23</v>
      </c>
      <c r="B69" s="58">
        <f t="shared" si="7"/>
        <v>4784702.410769063</v>
      </c>
      <c r="C69" s="58" cm="1">
        <f t="array" ref="C69">B69/(Increment+Employer_Social_Insurance_Rate)</f>
        <v>4197107.377867599</v>
      </c>
      <c r="D69" s="58" cm="1">
        <f t="array" ref="D69">C69*Employer_Social_Insurance_Rate</f>
        <v>587595.03290146391</v>
      </c>
      <c r="E69" s="58" cm="1">
        <f t="array" ref="E69">C69*Employee_Deduction_Rate</f>
        <v>293797.51645073196</v>
      </c>
      <c r="F69" s="58">
        <f t="shared" si="8"/>
        <v>3903309.861416867</v>
      </c>
      <c r="G69" s="58">
        <f t="shared" si="9"/>
        <v>881392.54935219581</v>
      </c>
      <c r="H69" s="58">
        <f t="shared" si="5"/>
        <v>325275.82178473892</v>
      </c>
      <c r="I69" s="150">
        <f t="shared" si="6"/>
        <v>73449.379112682989</v>
      </c>
    </row>
    <row r="70" spans="1:9" x14ac:dyDescent="0.35">
      <c r="A70" s="51">
        <f t="shared" si="4"/>
        <v>24</v>
      </c>
      <c r="B70" s="58">
        <f t="shared" si="7"/>
        <v>4856472.9469305985</v>
      </c>
      <c r="C70" s="58" cm="1">
        <f t="array" ref="C70">B70/(Increment+Employer_Social_Insurance_Rate)</f>
        <v>4260063.9885356119</v>
      </c>
      <c r="D70" s="58" cm="1">
        <f t="array" ref="D70">C70*Employer_Social_Insurance_Rate</f>
        <v>596408.95839498576</v>
      </c>
      <c r="E70" s="58" cm="1">
        <f t="array" ref="E70">C70*Employee_Deduction_Rate</f>
        <v>298204.47919749288</v>
      </c>
      <c r="F70" s="58">
        <f t="shared" si="8"/>
        <v>3961859.5093381191</v>
      </c>
      <c r="G70" s="58">
        <f t="shared" si="9"/>
        <v>894613.4375924787</v>
      </c>
      <c r="H70" s="58">
        <f t="shared" si="5"/>
        <v>330154.9591115099</v>
      </c>
      <c r="I70" s="150">
        <f t="shared" si="6"/>
        <v>74551.11979937322</v>
      </c>
    </row>
    <row r="71" spans="1:9" x14ac:dyDescent="0.35">
      <c r="A71" s="51">
        <f t="shared" si="4"/>
        <v>25</v>
      </c>
      <c r="B71" s="58">
        <f t="shared" si="7"/>
        <v>4929320.0411345568</v>
      </c>
      <c r="C71" s="58" cm="1">
        <f t="array" ref="C71">B71/(Increment+Employer_Social_Insurance_Rate)</f>
        <v>4323964.9483636459</v>
      </c>
      <c r="D71" s="58" cm="1">
        <f t="array" ref="D71">C71*Employer_Social_Insurance_Rate</f>
        <v>605355.09277091047</v>
      </c>
      <c r="E71" s="58" cm="1">
        <f t="array" ref="E71">C71*Employee_Deduction_Rate</f>
        <v>302677.54638545524</v>
      </c>
      <c r="F71" s="58">
        <f t="shared" si="8"/>
        <v>4021287.4019781905</v>
      </c>
      <c r="G71" s="58">
        <f t="shared" si="9"/>
        <v>908032.63915636577</v>
      </c>
      <c r="H71" s="58">
        <f t="shared" si="5"/>
        <v>335107.28349818254</v>
      </c>
      <c r="I71" s="150">
        <f t="shared" si="6"/>
        <v>75669.386596363809</v>
      </c>
    </row>
    <row r="72" spans="1:9" x14ac:dyDescent="0.35">
      <c r="A72" s="51">
        <f t="shared" si="4"/>
        <v>26</v>
      </c>
      <c r="B72" s="58">
        <f t="shared" si="7"/>
        <v>5003259.8417515745</v>
      </c>
      <c r="C72" s="58" cm="1">
        <f t="array" ref="C72">B72/(Increment+Employer_Social_Insurance_Rate)</f>
        <v>4388824.4225891</v>
      </c>
      <c r="D72" s="58" cm="1">
        <f t="array" ref="D72">C72*Employer_Social_Insurance_Rate</f>
        <v>614435.41916247411</v>
      </c>
      <c r="E72" s="58" cm="1">
        <f t="array" ref="E72">C72*Employee_Deduction_Rate</f>
        <v>307217.70958123705</v>
      </c>
      <c r="F72" s="58">
        <f t="shared" si="8"/>
        <v>4081606.7130078627</v>
      </c>
      <c r="G72" s="58">
        <f t="shared" si="9"/>
        <v>921653.12874371116</v>
      </c>
      <c r="H72" s="58">
        <f t="shared" si="5"/>
        <v>340133.89275065524</v>
      </c>
      <c r="I72" s="150">
        <f t="shared" si="6"/>
        <v>76804.427395309263</v>
      </c>
    </row>
    <row r="73" spans="1:9" x14ac:dyDescent="0.35">
      <c r="A73" s="51">
        <f t="shared" si="4"/>
        <v>27</v>
      </c>
      <c r="B73" s="58">
        <f t="shared" si="7"/>
        <v>5078308.7393778479</v>
      </c>
      <c r="C73" s="58" cm="1">
        <f t="array" ref="C73">B73/(Increment+Employer_Social_Insurance_Rate)</f>
        <v>4454656.788927936</v>
      </c>
      <c r="D73" s="58" cm="1">
        <f t="array" ref="D73">C73*Employer_Social_Insurance_Rate</f>
        <v>623651.95044991106</v>
      </c>
      <c r="E73" s="58" cm="1">
        <f t="array" ref="E73">C73*Employee_Deduction_Rate</f>
        <v>311825.97522495553</v>
      </c>
      <c r="F73" s="58">
        <f t="shared" si="8"/>
        <v>4142830.8137029805</v>
      </c>
      <c r="G73" s="58">
        <f t="shared" si="9"/>
        <v>935477.92567486665</v>
      </c>
      <c r="H73" s="58">
        <f t="shared" si="5"/>
        <v>345235.90114191506</v>
      </c>
      <c r="I73" s="150">
        <f t="shared" si="6"/>
        <v>77956.493806238883</v>
      </c>
    </row>
    <row r="74" spans="1:9" x14ac:dyDescent="0.35">
      <c r="A74" s="51">
        <f t="shared" si="4"/>
        <v>28</v>
      </c>
      <c r="B74" s="58">
        <f t="shared" si="7"/>
        <v>5154483.370468515</v>
      </c>
      <c r="C74" s="58" cm="1">
        <f t="array" ref="C74">B74/(Increment+Employer_Social_Insurance_Rate)</f>
        <v>4521476.6407618551</v>
      </c>
      <c r="D74" s="58" cm="1">
        <f t="array" ref="D74">C74*Employer_Social_Insurance_Rate</f>
        <v>633006.7297066598</v>
      </c>
      <c r="E74" s="58" cm="1">
        <f t="array" ref="E74">C74*Employee_Deduction_Rate</f>
        <v>316503.3648533299</v>
      </c>
      <c r="F74" s="58">
        <f t="shared" si="8"/>
        <v>4204973.2759085251</v>
      </c>
      <c r="G74" s="58">
        <f t="shared" si="9"/>
        <v>949510.09455998964</v>
      </c>
      <c r="H74" s="58">
        <f t="shared" si="5"/>
        <v>350414.43965904374</v>
      </c>
      <c r="I74" s="150">
        <f t="shared" si="6"/>
        <v>79125.841213332475</v>
      </c>
    </row>
    <row r="75" spans="1:9" x14ac:dyDescent="0.35">
      <c r="A75" s="51">
        <f t="shared" si="4"/>
        <v>29</v>
      </c>
      <c r="B75" s="58">
        <f t="shared" si="7"/>
        <v>5231800.6210255418</v>
      </c>
      <c r="C75" s="58" cm="1">
        <f t="array" ref="C75">B75/(Increment+Employer_Social_Insurance_Rate)</f>
        <v>4589298.7903732816</v>
      </c>
      <c r="D75" s="58" cm="1">
        <f t="array" ref="D75">C75*Employer_Social_Insurance_Rate</f>
        <v>642501.83065225952</v>
      </c>
      <c r="E75" s="58" cm="1">
        <f t="array" ref="E75">C75*Employee_Deduction_Rate</f>
        <v>321250.91532612976</v>
      </c>
      <c r="F75" s="58">
        <f t="shared" si="8"/>
        <v>4268047.8750471519</v>
      </c>
      <c r="G75" s="58">
        <f t="shared" si="9"/>
        <v>963752.74597838928</v>
      </c>
      <c r="H75" s="58">
        <f t="shared" si="5"/>
        <v>355670.65625392931</v>
      </c>
      <c r="I75" s="150">
        <f t="shared" si="6"/>
        <v>80312.72883153244</v>
      </c>
    </row>
    <row r="76" spans="1:9" x14ac:dyDescent="0.35">
      <c r="A76" s="51">
        <f t="shared" si="4"/>
        <v>30</v>
      </c>
      <c r="B76" s="58">
        <f t="shared" si="7"/>
        <v>5310277.6303409245</v>
      </c>
      <c r="C76" s="58" cm="1">
        <f t="array" ref="C76">B76/(Increment+Employer_Social_Insurance_Rate)</f>
        <v>4658138.2722288808</v>
      </c>
      <c r="D76" s="58" cm="1">
        <f t="array" ref="D76">C76*Employer_Social_Insurance_Rate</f>
        <v>652139.35811204335</v>
      </c>
      <c r="E76" s="58" cm="1">
        <f t="array" ref="E76">C76*Employee_Deduction_Rate</f>
        <v>326069.67905602168</v>
      </c>
      <c r="F76" s="58">
        <f t="shared" si="8"/>
        <v>4332068.5931728594</v>
      </c>
      <c r="G76" s="58">
        <f t="shared" si="9"/>
        <v>978209.03716806509</v>
      </c>
      <c r="H76" s="58">
        <f t="shared" si="5"/>
        <v>361005.7160977383</v>
      </c>
      <c r="I76" s="150">
        <f t="shared" si="6"/>
        <v>81517.419764005419</v>
      </c>
    </row>
    <row r="77" spans="1:9" x14ac:dyDescent="0.35">
      <c r="A77" s="52">
        <f t="shared" si="4"/>
        <v>31</v>
      </c>
      <c r="B77" s="215">
        <f t="shared" si="7"/>
        <v>5389931.7947960375</v>
      </c>
      <c r="C77" s="215" cm="1">
        <f t="array" ref="C77">B77/(Increment+Employer_Social_Insurance_Rate)</f>
        <v>4728010.3463123133</v>
      </c>
      <c r="D77" s="215" cm="1">
        <f t="array" ref="D77">C77*Employer_Social_Insurance_Rate</f>
        <v>661921.44848372391</v>
      </c>
      <c r="E77" s="215" cm="1">
        <f t="array" ref="E77">C77*Employee_Deduction_Rate</f>
        <v>330960.72424186196</v>
      </c>
      <c r="F77" s="215">
        <f t="shared" si="8"/>
        <v>4397049.6220704513</v>
      </c>
      <c r="G77" s="215">
        <f t="shared" si="9"/>
        <v>992882.17272558587</v>
      </c>
      <c r="H77" s="215">
        <f t="shared" si="5"/>
        <v>366420.80183920427</v>
      </c>
      <c r="I77" s="221">
        <f t="shared" si="6"/>
        <v>82740.181060465489</v>
      </c>
    </row>
    <row r="78" spans="1:9" x14ac:dyDescent="0.35">
      <c r="A78" s="13"/>
      <c r="B78" s="10"/>
      <c r="C78" s="10"/>
      <c r="D78" s="10"/>
      <c r="E78" s="10"/>
      <c r="F78" s="10"/>
      <c r="G78" s="10"/>
      <c r="H78" s="10"/>
      <c r="I78" s="10"/>
    </row>
    <row r="79" spans="1:9" x14ac:dyDescent="0.35">
      <c r="A79" s="74" t="s">
        <v>150</v>
      </c>
      <c r="B79" s="10"/>
      <c r="C79" s="10"/>
      <c r="D79" s="10"/>
      <c r="E79" s="10"/>
      <c r="F79" s="129" t="s">
        <v>151</v>
      </c>
      <c r="G79" s="10"/>
      <c r="H79" s="10"/>
      <c r="I79" s="10"/>
    </row>
    <row r="80" spans="1:9" x14ac:dyDescent="0.35">
      <c r="A80" s="141" t="s">
        <v>108</v>
      </c>
      <c r="B80" s="141" t="s">
        <v>152</v>
      </c>
      <c r="C80" s="141" t="s">
        <v>153</v>
      </c>
      <c r="D80" s="144" t="s">
        <v>154</v>
      </c>
      <c r="E80" s="10"/>
      <c r="F80" s="141" t="s">
        <v>108</v>
      </c>
      <c r="G80" s="141" t="s">
        <v>152</v>
      </c>
      <c r="H80" s="141" t="s">
        <v>155</v>
      </c>
      <c r="I80" s="144" t="s">
        <v>156</v>
      </c>
    </row>
    <row r="81" spans="1:11" x14ac:dyDescent="0.35">
      <c r="A81" s="51">
        <f>Increment</f>
        <v>1</v>
      </c>
      <c r="B81" s="130"/>
      <c r="C81" s="130"/>
      <c r="D81" s="131"/>
      <c r="E81" s="10"/>
      <c r="F81" s="63">
        <f>Increment</f>
        <v>1</v>
      </c>
      <c r="G81" s="68"/>
      <c r="H81" s="133"/>
      <c r="I81" s="134"/>
      <c r="J81" s="10"/>
    </row>
    <row r="82" spans="1:11" x14ac:dyDescent="0.35">
      <c r="A82" s="63">
        <f t="shared" ref="A82:A111" si="10">A81+Increment</f>
        <v>2</v>
      </c>
      <c r="B82" s="179">
        <f>Inputs!F59</f>
        <v>28330000</v>
      </c>
      <c r="C82" s="72" cm="1">
        <f t="array" ref="C82">Sell_price_LNG*(Increment+Inflation_Annual)^(A82-First_Yr)</f>
        <v>28</v>
      </c>
      <c r="D82" s="216">
        <f>B82*C82</f>
        <v>793240000</v>
      </c>
      <c r="E82" s="10"/>
      <c r="F82" s="51">
        <f t="shared" ref="F82:F111" si="11">F81+Increment</f>
        <v>2</v>
      </c>
      <c r="G82" s="180">
        <f>Inputs!F59</f>
        <v>28330000</v>
      </c>
      <c r="H82" s="75" cm="1">
        <f t="array" ref="H82">Purch_price_LNG*(Increment+Inflation_Annual)^(F82-First_Yr)</f>
        <v>22</v>
      </c>
      <c r="I82" s="216">
        <f>G82*H82</f>
        <v>623260000</v>
      </c>
      <c r="J82" s="10"/>
      <c r="K82" s="10"/>
    </row>
    <row r="83" spans="1:11" x14ac:dyDescent="0.35">
      <c r="A83" s="63">
        <f t="shared" si="10"/>
        <v>3</v>
      </c>
      <c r="B83" s="124">
        <f t="shared" ref="B83:B111" si="12">B82*(Demand_Increase+Increment)</f>
        <v>28471649.999999996</v>
      </c>
      <c r="C83" s="75" cm="1">
        <f t="array" ref="C83">Sell_price_LNG*(Increment+Inflation_Annual)^(A83-First_Yr)</f>
        <v>28.419999999999998</v>
      </c>
      <c r="D83" s="217">
        <f t="shared" ref="D83:D111" si="13">B83*C83</f>
        <v>809164292.99999988</v>
      </c>
      <c r="E83" s="10"/>
      <c r="F83" s="51">
        <f t="shared" si="11"/>
        <v>3</v>
      </c>
      <c r="G83" s="91">
        <f t="shared" ref="G83:G111" si="14">G82*(Demand_Increase+Increment)</f>
        <v>28471649.999999996</v>
      </c>
      <c r="H83" s="75" cm="1">
        <f t="array" ref="H83">Purch_price_LNG*(Increment+Inflation_Annual)^(F83-First_Yr)</f>
        <v>22.33</v>
      </c>
      <c r="I83" s="217">
        <f t="shared" ref="I83:I111" si="15">G83*H83</f>
        <v>635771944.49999988</v>
      </c>
      <c r="K83" s="10"/>
    </row>
    <row r="84" spans="1:11" x14ac:dyDescent="0.35">
      <c r="A84" s="63">
        <f t="shared" si="10"/>
        <v>4</v>
      </c>
      <c r="B84" s="124">
        <f t="shared" si="12"/>
        <v>28614008.249999993</v>
      </c>
      <c r="C84" s="75" cm="1">
        <f t="array" ref="C84">Sell_price_LNG*(Increment+Inflation_Annual)^(A84-First_Yr)</f>
        <v>28.846299999999992</v>
      </c>
      <c r="D84" s="217">
        <f t="shared" si="13"/>
        <v>825408266.18197453</v>
      </c>
      <c r="E84" s="10"/>
      <c r="F84" s="51">
        <f t="shared" si="11"/>
        <v>4</v>
      </c>
      <c r="G84" s="91">
        <f t="shared" si="14"/>
        <v>28614008.249999993</v>
      </c>
      <c r="H84" s="75" cm="1">
        <f t="array" ref="H84">Purch_price_LNG*(Increment+Inflation_Annual)^(F84-First_Yr)</f>
        <v>22.664949999999994</v>
      </c>
      <c r="I84" s="217">
        <f t="shared" si="15"/>
        <v>648535066.28583717</v>
      </c>
      <c r="J84" s="10"/>
      <c r="K84" s="10"/>
    </row>
    <row r="85" spans="1:11" x14ac:dyDescent="0.35">
      <c r="A85" s="63">
        <f t="shared" si="10"/>
        <v>5</v>
      </c>
      <c r="B85" s="124">
        <f t="shared" si="12"/>
        <v>28757078.29124999</v>
      </c>
      <c r="C85" s="75" cm="1">
        <f t="array" ref="C85">Sell_price_LNG*(Increment+Inflation_Annual)^(A85-First_Yr)</f>
        <v>29.278994499999989</v>
      </c>
      <c r="D85" s="217">
        <f t="shared" si="13"/>
        <v>841978337.12557757</v>
      </c>
      <c r="E85" s="10"/>
      <c r="F85" s="51">
        <f t="shared" si="11"/>
        <v>5</v>
      </c>
      <c r="G85" s="91">
        <f t="shared" si="14"/>
        <v>28757078.29124999</v>
      </c>
      <c r="H85" s="75" cm="1">
        <f t="array" ref="H85">Purch_price_LNG*(Increment+Inflation_Annual)^(F85-First_Yr)</f>
        <v>23.004924249999991</v>
      </c>
      <c r="I85" s="217">
        <f t="shared" si="15"/>
        <v>661554407.74152517</v>
      </c>
      <c r="K85" s="10"/>
    </row>
    <row r="86" spans="1:11" x14ac:dyDescent="0.35">
      <c r="A86" s="63">
        <f t="shared" si="10"/>
        <v>6</v>
      </c>
      <c r="B86" s="124">
        <f t="shared" si="12"/>
        <v>28900863.682706237</v>
      </c>
      <c r="C86" s="75" cm="1">
        <f t="array" ref="C86">Sell_price_LNG*(Increment+Inflation_Annual)^(A86-First_Yr)</f>
        <v>29.718179417499982</v>
      </c>
      <c r="D86" s="217">
        <f t="shared" si="13"/>
        <v>858881052.24337327</v>
      </c>
      <c r="E86" s="10"/>
      <c r="F86" s="51">
        <f t="shared" si="11"/>
        <v>6</v>
      </c>
      <c r="G86" s="91">
        <f t="shared" si="14"/>
        <v>28900863.682706237</v>
      </c>
      <c r="H86" s="75" cm="1">
        <f t="array" ref="H86">Purch_price_LNG*(Increment+Inflation_Annual)^(F86-First_Yr)</f>
        <v>23.349998113749987</v>
      </c>
      <c r="I86" s="217">
        <f t="shared" si="15"/>
        <v>674835112.4769361</v>
      </c>
    </row>
    <row r="87" spans="1:11" x14ac:dyDescent="0.35">
      <c r="A87" s="63">
        <f t="shared" si="10"/>
        <v>7</v>
      </c>
      <c r="B87" s="124">
        <f t="shared" si="12"/>
        <v>29045368.001119766</v>
      </c>
      <c r="C87" s="75" cm="1">
        <f t="array" ref="C87">Sell_price_LNG*(Increment+Inflation_Annual)^(A87-First_Yr)</f>
        <v>30.16395210876248</v>
      </c>
      <c r="D87" s="217">
        <f t="shared" si="13"/>
        <v>876123089.36715889</v>
      </c>
      <c r="E87" s="10"/>
      <c r="F87" s="51">
        <f t="shared" si="11"/>
        <v>7</v>
      </c>
      <c r="G87" s="91">
        <f t="shared" si="14"/>
        <v>29045368.001119766</v>
      </c>
      <c r="H87" s="75" cm="1">
        <f t="array" ref="H87">Purch_price_LNG*(Increment+Inflation_Annual)^(F87-First_Yr)</f>
        <v>23.700248085456234</v>
      </c>
      <c r="I87" s="217">
        <f t="shared" si="15"/>
        <v>688382427.35991049</v>
      </c>
      <c r="K87" s="10"/>
    </row>
    <row r="88" spans="1:11" x14ac:dyDescent="0.35">
      <c r="A88" s="63">
        <f t="shared" si="10"/>
        <v>8</v>
      </c>
      <c r="B88" s="124">
        <f t="shared" si="12"/>
        <v>29190594.841125362</v>
      </c>
      <c r="C88" s="75" cm="1">
        <f t="array" ref="C88">Sell_price_LNG*(Increment+Inflation_Annual)^(A88-First_Yr)</f>
        <v>30.61641139039391</v>
      </c>
      <c r="D88" s="217">
        <f t="shared" si="13"/>
        <v>893711260.38620424</v>
      </c>
      <c r="E88" s="10"/>
      <c r="F88" s="51">
        <f t="shared" si="11"/>
        <v>8</v>
      </c>
      <c r="G88" s="91">
        <f t="shared" si="14"/>
        <v>29190594.841125362</v>
      </c>
      <c r="H88" s="75" cm="1">
        <f t="array" ref="H88">Purch_price_LNG*(Increment+Inflation_Annual)^(F88-First_Yr)</f>
        <v>24.055751806738073</v>
      </c>
      <c r="I88" s="217">
        <f t="shared" si="15"/>
        <v>702201704.58916044</v>
      </c>
    </row>
    <row r="89" spans="1:11" x14ac:dyDescent="0.35">
      <c r="A89" s="63">
        <f t="shared" si="10"/>
        <v>9</v>
      </c>
      <c r="B89" s="124">
        <f t="shared" si="12"/>
        <v>29336547.815330986</v>
      </c>
      <c r="C89" s="75" cm="1">
        <f t="array" ref="C89">Sell_price_LNG*(Increment+Inflation_Annual)^(A89-First_Yr)</f>
        <v>31.075657561249816</v>
      </c>
      <c r="D89" s="217">
        <f t="shared" si="13"/>
        <v>911652513.93845713</v>
      </c>
      <c r="E89" s="10"/>
      <c r="F89" s="51">
        <f t="shared" si="11"/>
        <v>9</v>
      </c>
      <c r="G89" s="91">
        <f t="shared" si="14"/>
        <v>29336547.815330986</v>
      </c>
      <c r="H89" s="75" cm="1">
        <f t="array" ref="H89">Purch_price_LNG*(Increment+Inflation_Annual)^(F89-First_Yr)</f>
        <v>24.416588083839141</v>
      </c>
      <c r="I89" s="217">
        <f t="shared" si="15"/>
        <v>716298403.8087877</v>
      </c>
    </row>
    <row r="90" spans="1:11" x14ac:dyDescent="0.35">
      <c r="A90" s="63">
        <f t="shared" si="10"/>
        <v>10</v>
      </c>
      <c r="B90" s="124">
        <f t="shared" si="12"/>
        <v>29483230.554407638</v>
      </c>
      <c r="C90" s="75" cm="1">
        <f t="array" ref="C90">Sell_price_LNG*(Increment+Inflation_Annual)^(A90-First_Yr)</f>
        <v>31.541792424668561</v>
      </c>
      <c r="D90" s="217">
        <f t="shared" si="13"/>
        <v>929953938.15577149</v>
      </c>
      <c r="E90" s="10"/>
      <c r="F90" s="51">
        <f t="shared" si="11"/>
        <v>10</v>
      </c>
      <c r="G90" s="91">
        <f t="shared" si="14"/>
        <v>29483230.554407638</v>
      </c>
      <c r="H90" s="75" cm="1">
        <f t="array" ref="H90">Purch_price_LNG*(Increment+Inflation_Annual)^(F90-First_Yr)</f>
        <v>24.782836905096726</v>
      </c>
      <c r="I90" s="217">
        <f t="shared" si="15"/>
        <v>730678094.26524901</v>
      </c>
    </row>
    <row r="91" spans="1:11" x14ac:dyDescent="0.35">
      <c r="A91" s="63">
        <f t="shared" si="10"/>
        <v>11</v>
      </c>
      <c r="B91" s="124">
        <f t="shared" si="12"/>
        <v>29630646.707179673</v>
      </c>
      <c r="C91" s="75" cm="1">
        <f t="array" ref="C91">Sell_price_LNG*(Increment+Inflation_Annual)^(A91-First_Yr)</f>
        <v>32.014919311038582</v>
      </c>
      <c r="D91" s="217">
        <f t="shared" si="13"/>
        <v>948622763.4642483</v>
      </c>
      <c r="E91" s="10"/>
      <c r="F91" s="51">
        <f t="shared" si="11"/>
        <v>11</v>
      </c>
      <c r="G91" s="91">
        <f t="shared" si="14"/>
        <v>29630646.707179673</v>
      </c>
      <c r="H91" s="75" cm="1">
        <f t="array" ref="H91">Purch_price_LNG*(Increment+Inflation_Annual)^(F91-First_Yr)</f>
        <v>25.154579458673172</v>
      </c>
      <c r="I91" s="217">
        <f t="shared" si="15"/>
        <v>745346457.00762367</v>
      </c>
    </row>
    <row r="92" spans="1:11" x14ac:dyDescent="0.35">
      <c r="A92" s="63">
        <f t="shared" si="10"/>
        <v>12</v>
      </c>
      <c r="B92" s="124">
        <f t="shared" si="12"/>
        <v>29778799.94071557</v>
      </c>
      <c r="C92" s="75" cm="1">
        <f t="array" ref="C92">Sell_price_LNG*(Increment+Inflation_Annual)^(A92-First_Yr)</f>
        <v>32.495143100704162</v>
      </c>
      <c r="D92" s="217">
        <f t="shared" si="13"/>
        <v>967666365.44079304</v>
      </c>
      <c r="E92" s="10"/>
      <c r="F92" s="51">
        <f t="shared" si="11"/>
        <v>12</v>
      </c>
      <c r="G92" s="91">
        <f t="shared" si="14"/>
        <v>29778799.94071557</v>
      </c>
      <c r="H92" s="75" cm="1">
        <f t="array" ref="H92">Purch_price_LNG*(Increment+Inflation_Annual)^(F92-First_Yr)</f>
        <v>25.531898150553268</v>
      </c>
      <c r="I92" s="217">
        <f t="shared" si="15"/>
        <v>760309287.13205159</v>
      </c>
    </row>
    <row r="93" spans="1:11" x14ac:dyDescent="0.35">
      <c r="A93" s="63">
        <f t="shared" si="10"/>
        <v>13</v>
      </c>
      <c r="B93" s="124">
        <f t="shared" si="12"/>
        <v>29927693.940419145</v>
      </c>
      <c r="C93" s="75" cm="1">
        <f t="array" ref="C93">Sell_price_LNG*(Increment+Inflation_Annual)^(A93-First_Yr)</f>
        <v>32.982570247214717</v>
      </c>
      <c r="D93" s="217">
        <f t="shared" si="13"/>
        <v>987092267.72701669</v>
      </c>
      <c r="E93" s="10"/>
      <c r="F93" s="51">
        <f t="shared" si="11"/>
        <v>13</v>
      </c>
      <c r="G93" s="91">
        <f t="shared" si="14"/>
        <v>29927693.940419145</v>
      </c>
      <c r="H93" s="75" cm="1">
        <f t="array" ref="H93">Purch_price_LNG*(Increment+Inflation_Annual)^(F93-First_Yr)</f>
        <v>25.914876622811565</v>
      </c>
      <c r="I93" s="217">
        <f t="shared" si="15"/>
        <v>775572496.07122743</v>
      </c>
    </row>
    <row r="94" spans="1:11" x14ac:dyDescent="0.35">
      <c r="A94" s="63">
        <f t="shared" si="10"/>
        <v>14</v>
      </c>
      <c r="B94" s="124">
        <f t="shared" si="12"/>
        <v>30077332.410121236</v>
      </c>
      <c r="C94" s="75" cm="1">
        <f t="array" ref="C94">Sell_price_LNG*(Increment+Inflation_Annual)^(A94-First_Yr)</f>
        <v>33.477308800922934</v>
      </c>
      <c r="D94" s="217">
        <f t="shared" si="13"/>
        <v>1006908145.0016363</v>
      </c>
      <c r="E94" s="10"/>
      <c r="F94" s="51">
        <f t="shared" si="11"/>
        <v>14</v>
      </c>
      <c r="G94" s="91">
        <f t="shared" si="14"/>
        <v>30077332.410121236</v>
      </c>
      <c r="H94" s="75" cm="1">
        <f t="array" ref="H94">Purch_price_LNG*(Increment+Inflation_Annual)^(F94-First_Yr)</f>
        <v>26.303599772153731</v>
      </c>
      <c r="I94" s="217">
        <f t="shared" si="15"/>
        <v>791142113.92985702</v>
      </c>
    </row>
    <row r="95" spans="1:11" x14ac:dyDescent="0.35">
      <c r="A95" s="63">
        <f t="shared" si="10"/>
        <v>15</v>
      </c>
      <c r="B95" s="124">
        <f t="shared" si="12"/>
        <v>30227719.072171841</v>
      </c>
      <c r="C95" s="75" cm="1">
        <f t="array" ref="C95">Sell_price_LNG*(Increment+Inflation_Annual)^(A95-First_Yr)</f>
        <v>33.97946843293677</v>
      </c>
      <c r="D95" s="217">
        <f t="shared" si="13"/>
        <v>1027121826.0125438</v>
      </c>
      <c r="E95" s="10"/>
      <c r="F95" s="51">
        <f t="shared" si="11"/>
        <v>15</v>
      </c>
      <c r="G95" s="91">
        <f t="shared" si="14"/>
        <v>30227719.072171841</v>
      </c>
      <c r="H95" s="75" cm="1">
        <f t="array" ref="H95">Purch_price_LNG*(Increment+Inflation_Annual)^(F95-First_Yr)</f>
        <v>26.698153768736034</v>
      </c>
      <c r="I95" s="217">
        <f t="shared" si="15"/>
        <v>807024291.86699879</v>
      </c>
    </row>
    <row r="96" spans="1:11" x14ac:dyDescent="0.35">
      <c r="A96" s="63">
        <f t="shared" si="10"/>
        <v>16</v>
      </c>
      <c r="B96" s="124">
        <f t="shared" si="12"/>
        <v>30378857.667532697</v>
      </c>
      <c r="C96" s="75" cm="1">
        <f t="array" ref="C96">Sell_price_LNG*(Increment+Inflation_Annual)^(A96-First_Yr)</f>
        <v>34.489160459430813</v>
      </c>
      <c r="D96" s="217">
        <f t="shared" si="13"/>
        <v>1047741296.6697453</v>
      </c>
      <c r="E96" s="10"/>
      <c r="F96" s="51">
        <f t="shared" si="11"/>
        <v>16</v>
      </c>
      <c r="G96" s="91">
        <f t="shared" si="14"/>
        <v>30378857.667532697</v>
      </c>
      <c r="H96" s="75" cm="1">
        <f t="array" ref="H96">Purch_price_LNG*(Increment+Inflation_Annual)^(F96-First_Yr)</f>
        <v>27.09862607526707</v>
      </c>
      <c r="I96" s="217">
        <f t="shared" si="15"/>
        <v>823225304.52622855</v>
      </c>
    </row>
    <row r="97" spans="1:9" x14ac:dyDescent="0.35">
      <c r="A97" s="63">
        <f t="shared" si="10"/>
        <v>17</v>
      </c>
      <c r="B97" s="124">
        <f t="shared" si="12"/>
        <v>30530751.955870356</v>
      </c>
      <c r="C97" s="75" cm="1">
        <f t="array" ref="C97">Sell_price_LNG*(Increment+Inflation_Annual)^(A97-First_Yr)</f>
        <v>35.006497866322277</v>
      </c>
      <c r="D97" s="217">
        <f t="shared" si="13"/>
        <v>1068774703.2003903</v>
      </c>
      <c r="E97" s="10"/>
      <c r="F97" s="51">
        <f t="shared" si="11"/>
        <v>17</v>
      </c>
      <c r="G97" s="91">
        <f t="shared" si="14"/>
        <v>30530751.955870356</v>
      </c>
      <c r="H97" s="75" cm="1">
        <f t="array" ref="H97">Purch_price_LNG*(Increment+Inflation_Annual)^(F97-First_Yr)</f>
        <v>27.505105466396074</v>
      </c>
      <c r="I97" s="217">
        <f t="shared" si="15"/>
        <v>839751552.51459241</v>
      </c>
    </row>
    <row r="98" spans="1:9" x14ac:dyDescent="0.35">
      <c r="A98" s="63">
        <f t="shared" si="10"/>
        <v>18</v>
      </c>
      <c r="B98" s="124">
        <f t="shared" si="12"/>
        <v>30683405.715649705</v>
      </c>
      <c r="C98" s="75" cm="1">
        <f t="array" ref="C98">Sell_price_LNG*(Increment+Inflation_Annual)^(A98-First_Yr)</f>
        <v>35.531595334317103</v>
      </c>
      <c r="D98" s="217">
        <f t="shared" si="13"/>
        <v>1090230355.3671379</v>
      </c>
      <c r="E98" s="10"/>
      <c r="F98" s="51">
        <f t="shared" si="11"/>
        <v>18</v>
      </c>
      <c r="G98" s="91">
        <f t="shared" si="14"/>
        <v>30683405.715649705</v>
      </c>
      <c r="H98" s="75" cm="1">
        <f t="array" ref="H98">Purch_price_LNG*(Increment+Inflation_Annual)^(F98-First_Yr)</f>
        <v>27.91768204839201</v>
      </c>
      <c r="I98" s="217">
        <f t="shared" si="15"/>
        <v>856609564.93132257</v>
      </c>
    </row>
    <row r="99" spans="1:9" x14ac:dyDescent="0.35">
      <c r="A99" s="63">
        <f t="shared" si="10"/>
        <v>19</v>
      </c>
      <c r="B99" s="124">
        <f t="shared" si="12"/>
        <v>30836822.74422795</v>
      </c>
      <c r="C99" s="75" cm="1">
        <f t="array" ref="C99">Sell_price_LNG*(Increment+Inflation_Annual)^(A99-First_Yr)</f>
        <v>36.064569264331851</v>
      </c>
      <c r="D99" s="217">
        <f t="shared" si="13"/>
        <v>1112116729.7511327</v>
      </c>
      <c r="E99" s="10"/>
      <c r="F99" s="51">
        <f t="shared" si="11"/>
        <v>19</v>
      </c>
      <c r="G99" s="91">
        <f t="shared" si="14"/>
        <v>30836822.74422795</v>
      </c>
      <c r="H99" s="75" cm="1">
        <f t="array" ref="H99">Purch_price_LNG*(Increment+Inflation_Annual)^(F99-First_Yr)</f>
        <v>28.336447279117884</v>
      </c>
      <c r="I99" s="217">
        <f t="shared" si="15"/>
        <v>873806001.94731855</v>
      </c>
    </row>
    <row r="100" spans="1:9" x14ac:dyDescent="0.35">
      <c r="A100" s="63">
        <f t="shared" si="10"/>
        <v>20</v>
      </c>
      <c r="B100" s="124">
        <f t="shared" si="12"/>
        <v>30991006.857949086</v>
      </c>
      <c r="C100" s="75" cm="1">
        <f t="array" ref="C100">Sell_price_LNG*(Increment+Inflation_Annual)^(A100-First_Yr)</f>
        <v>36.605537803296826</v>
      </c>
      <c r="D100" s="217">
        <f t="shared" si="13"/>
        <v>1134442473.1008863</v>
      </c>
      <c r="E100" s="10"/>
      <c r="F100" s="51">
        <f t="shared" si="11"/>
        <v>20</v>
      </c>
      <c r="G100" s="91">
        <f t="shared" si="14"/>
        <v>30991006.857949086</v>
      </c>
      <c r="H100" s="75" cm="1">
        <f t="array" ref="H100">Purch_price_LNG*(Increment+Inflation_Annual)^(F100-First_Yr)</f>
        <v>28.76149398830465</v>
      </c>
      <c r="I100" s="217">
        <f t="shared" si="15"/>
        <v>891347657.43641078</v>
      </c>
    </row>
    <row r="101" spans="1:9" x14ac:dyDescent="0.35">
      <c r="A101" s="63">
        <f t="shared" si="10"/>
        <v>21</v>
      </c>
      <c r="B101" s="124">
        <f t="shared" si="12"/>
        <v>31145961.892238829</v>
      </c>
      <c r="C101" s="75" cm="1">
        <f t="array" ref="C101">Sell_price_LNG*(Increment+Inflation_Annual)^(A101-First_Yr)</f>
        <v>37.154620870346278</v>
      </c>
      <c r="D101" s="217">
        <f t="shared" si="13"/>
        <v>1157216405.7483866</v>
      </c>
      <c r="E101" s="10"/>
      <c r="F101" s="51">
        <f t="shared" si="11"/>
        <v>21</v>
      </c>
      <c r="G101" s="91">
        <f t="shared" si="14"/>
        <v>31145961.892238829</v>
      </c>
      <c r="H101" s="75" cm="1">
        <f t="array" ref="H101">Purch_price_LNG*(Increment+Inflation_Annual)^(F101-First_Yr)</f>
        <v>29.192916398129221</v>
      </c>
      <c r="I101" s="217">
        <f t="shared" si="15"/>
        <v>909241461.65944672</v>
      </c>
    </row>
    <row r="102" spans="1:9" x14ac:dyDescent="0.35">
      <c r="A102" s="63">
        <f t="shared" si="10"/>
        <v>22</v>
      </c>
      <c r="B102" s="124">
        <f t="shared" si="12"/>
        <v>31301691.701700021</v>
      </c>
      <c r="C102" s="75" cm="1">
        <f t="array" ref="C102">Sell_price_LNG*(Increment+Inflation_Annual)^(A102-First_Yr)</f>
        <v>37.71194018340146</v>
      </c>
      <c r="D102" s="217">
        <f t="shared" si="13"/>
        <v>1180447525.093785</v>
      </c>
      <c r="E102" s="10"/>
      <c r="F102" s="51">
        <f t="shared" si="11"/>
        <v>22</v>
      </c>
      <c r="G102" s="91">
        <f t="shared" si="14"/>
        <v>31301691.701700021</v>
      </c>
      <c r="H102" s="75" cm="1">
        <f t="array" ref="H102">Purch_price_LNG*(Increment+Inflation_Annual)^(F102-First_Yr)</f>
        <v>29.630810144101147</v>
      </c>
      <c r="I102" s="217">
        <f t="shared" si="15"/>
        <v>927494484.00225973</v>
      </c>
    </row>
    <row r="103" spans="1:9" x14ac:dyDescent="0.35">
      <c r="A103" s="63">
        <f t="shared" si="10"/>
        <v>23</v>
      </c>
      <c r="B103" s="124">
        <f t="shared" si="12"/>
        <v>31458200.160208516</v>
      </c>
      <c r="C103" s="75" cm="1">
        <f t="array" ref="C103">Sell_price_LNG*(Increment+Inflation_Annual)^(A103-First_Yr)</f>
        <v>38.277619286152479</v>
      </c>
      <c r="D103" s="217">
        <f t="shared" si="13"/>
        <v>1204145009.1600425</v>
      </c>
      <c r="E103" s="10"/>
      <c r="F103" s="51">
        <f t="shared" si="11"/>
        <v>23</v>
      </c>
      <c r="G103" s="91">
        <f t="shared" si="14"/>
        <v>31458200.160208516</v>
      </c>
      <c r="H103" s="75" cm="1">
        <f t="array" ref="H103">Purch_price_LNG*(Increment+Inflation_Annual)^(F103-First_Yr)</f>
        <v>30.075272296262664</v>
      </c>
      <c r="I103" s="217">
        <f t="shared" si="15"/>
        <v>946113935.76860487</v>
      </c>
    </row>
    <row r="104" spans="1:9" x14ac:dyDescent="0.35">
      <c r="A104" s="63">
        <f t="shared" si="10"/>
        <v>24</v>
      </c>
      <c r="B104" s="124">
        <f t="shared" si="12"/>
        <v>31615491.161009554</v>
      </c>
      <c r="C104" s="75" cm="1">
        <f t="array" ref="C104">Sell_price_LNG*(Increment+Inflation_Annual)^(A104-First_Yr)</f>
        <v>38.851783575444756</v>
      </c>
      <c r="D104" s="217">
        <f t="shared" si="13"/>
        <v>1228318220.2189298</v>
      </c>
      <c r="E104" s="10"/>
      <c r="F104" s="51">
        <f t="shared" si="11"/>
        <v>24</v>
      </c>
      <c r="G104" s="91">
        <f t="shared" si="14"/>
        <v>31615491.161009554</v>
      </c>
      <c r="H104" s="75" cm="1">
        <f t="array" ref="H104">Purch_price_LNG*(Increment+Inflation_Annual)^(F104-First_Yr)</f>
        <v>30.526401380706595</v>
      </c>
      <c r="I104" s="217">
        <f t="shared" si="15"/>
        <v>965107173.02915919</v>
      </c>
    </row>
    <row r="105" spans="1:9" x14ac:dyDescent="0.35">
      <c r="A105" s="63">
        <f t="shared" si="10"/>
        <v>25</v>
      </c>
      <c r="B105" s="124">
        <f t="shared" si="12"/>
        <v>31773568.616814598</v>
      </c>
      <c r="C105" s="75" cm="1">
        <f t="array" ref="C105">Sell_price_LNG*(Increment+Inflation_Annual)^(A105-First_Yr)</f>
        <v>39.434560329076426</v>
      </c>
      <c r="D105" s="217">
        <f t="shared" si="13"/>
        <v>1252976708.4898248</v>
      </c>
      <c r="E105" s="10"/>
      <c r="F105" s="51">
        <f t="shared" si="11"/>
        <v>25</v>
      </c>
      <c r="G105" s="91">
        <f t="shared" si="14"/>
        <v>31773568.616814598</v>
      </c>
      <c r="H105" s="75" cm="1">
        <f t="array" ref="H105">Purch_price_LNG*(Increment+Inflation_Annual)^(F105-First_Yr)</f>
        <v>30.984297401417194</v>
      </c>
      <c r="I105" s="217">
        <f t="shared" si="15"/>
        <v>984481699.5277195</v>
      </c>
    </row>
    <row r="106" spans="1:9" x14ac:dyDescent="0.35">
      <c r="A106" s="63">
        <f t="shared" si="10"/>
        <v>26</v>
      </c>
      <c r="B106" s="124">
        <f t="shared" si="12"/>
        <v>31932436.459898669</v>
      </c>
      <c r="C106" s="75" cm="1">
        <f t="array" ref="C106">Sell_price_LNG*(Increment+Inflation_Annual)^(A106-First_Yr)</f>
        <v>40.026078734012572</v>
      </c>
      <c r="D106" s="217">
        <f t="shared" si="13"/>
        <v>1278130215.9127579</v>
      </c>
      <c r="E106" s="10"/>
      <c r="F106" s="51">
        <f t="shared" si="11"/>
        <v>26</v>
      </c>
      <c r="G106" s="91">
        <f t="shared" si="14"/>
        <v>31932436.459898669</v>
      </c>
      <c r="H106" s="75" cm="1">
        <f t="array" ref="H106">Purch_price_LNG*(Increment+Inflation_Annual)^(F106-First_Yr)</f>
        <v>31.449061862438448</v>
      </c>
      <c r="I106" s="217">
        <f t="shared" si="15"/>
        <v>1004245169.6457382</v>
      </c>
    </row>
    <row r="107" spans="1:9" x14ac:dyDescent="0.35">
      <c r="A107" s="63">
        <f t="shared" si="10"/>
        <v>27</v>
      </c>
      <c r="B107" s="124">
        <f t="shared" si="12"/>
        <v>32092098.64219816</v>
      </c>
      <c r="C107" s="75" cm="1">
        <f t="array" ref="C107">Sell_price_LNG*(Increment+Inflation_Annual)^(A107-First_Yr)</f>
        <v>40.626469915022753</v>
      </c>
      <c r="D107" s="217">
        <f t="shared" si="13"/>
        <v>1303788679.9972062</v>
      </c>
      <c r="E107" s="10"/>
      <c r="F107" s="51">
        <f t="shared" si="11"/>
        <v>27</v>
      </c>
      <c r="G107" s="91">
        <f t="shared" si="14"/>
        <v>32092098.64219816</v>
      </c>
      <c r="H107" s="75" cm="1">
        <f t="array" ref="H107">Purch_price_LNG*(Increment+Inflation_Annual)^(F107-First_Yr)</f>
        <v>31.920797790375023</v>
      </c>
      <c r="I107" s="217">
        <f t="shared" si="15"/>
        <v>1024405391.4263763</v>
      </c>
    </row>
    <row r="108" spans="1:9" x14ac:dyDescent="0.35">
      <c r="A108" s="63">
        <f t="shared" si="10"/>
        <v>28</v>
      </c>
      <c r="B108" s="124">
        <f t="shared" si="12"/>
        <v>32252559.135409147</v>
      </c>
      <c r="C108" s="75" cm="1">
        <f t="array" ref="C108">Sell_price_LNG*(Increment+Inflation_Annual)^(A108-First_Yr)</f>
        <v>41.235866963748087</v>
      </c>
      <c r="D108" s="217">
        <f t="shared" si="13"/>
        <v>1329962237.7481496</v>
      </c>
      <c r="E108" s="10"/>
      <c r="F108" s="51">
        <f t="shared" si="11"/>
        <v>28</v>
      </c>
      <c r="G108" s="91">
        <f t="shared" si="14"/>
        <v>32252559.135409147</v>
      </c>
      <c r="H108" s="75" cm="1">
        <f t="array" ref="H108">Purch_price_LNG*(Increment+Inflation_Annual)^(F108-First_Yr)</f>
        <v>32.399609757230643</v>
      </c>
      <c r="I108" s="217">
        <f t="shared" si="15"/>
        <v>1044970329.6592605</v>
      </c>
    </row>
    <row r="109" spans="1:9" x14ac:dyDescent="0.35">
      <c r="A109" s="63">
        <f t="shared" si="10"/>
        <v>29</v>
      </c>
      <c r="B109" s="124">
        <f t="shared" si="12"/>
        <v>32413821.93108619</v>
      </c>
      <c r="C109" s="75" cm="1">
        <f t="array" ref="C109">Sell_price_LNG*(Increment+Inflation_Annual)^(A109-First_Yr)</f>
        <v>41.854404968204307</v>
      </c>
      <c r="D109" s="217">
        <f t="shared" si="13"/>
        <v>1356661229.6709435</v>
      </c>
      <c r="E109" s="10"/>
      <c r="F109" s="51">
        <f t="shared" si="11"/>
        <v>29</v>
      </c>
      <c r="G109" s="91">
        <f t="shared" si="14"/>
        <v>32413821.93108619</v>
      </c>
      <c r="H109" s="75" cm="1">
        <f t="array" ref="H109">Purch_price_LNG*(Increment+Inflation_Annual)^(F109-First_Yr)</f>
        <v>32.8856039035891</v>
      </c>
      <c r="I109" s="217">
        <f t="shared" si="15"/>
        <v>1065948109.0271699</v>
      </c>
    </row>
    <row r="110" spans="1:9" x14ac:dyDescent="0.35">
      <c r="A110" s="63">
        <f t="shared" si="10"/>
        <v>30</v>
      </c>
      <c r="B110" s="124">
        <f t="shared" si="12"/>
        <v>32575891.040741619</v>
      </c>
      <c r="C110" s="75" cm="1">
        <f t="array" ref="C110">Sell_price_LNG*(Increment+Inflation_Annual)^(A110-First_Yr)</f>
        <v>42.48222104272736</v>
      </c>
      <c r="D110" s="217">
        <f t="shared" si="13"/>
        <v>1383896203.8565872</v>
      </c>
      <c r="E110" s="10"/>
      <c r="F110" s="51">
        <f t="shared" si="11"/>
        <v>30</v>
      </c>
      <c r="G110" s="91">
        <f t="shared" si="14"/>
        <v>32575891.040741619</v>
      </c>
      <c r="H110" s="75" cm="1">
        <f t="array" ref="H110">Purch_price_LNG*(Increment+Inflation_Annual)^(F110-First_Yr)</f>
        <v>33.378887962142926</v>
      </c>
      <c r="I110" s="217">
        <f t="shared" si="15"/>
        <v>1087347017.3158901</v>
      </c>
    </row>
    <row r="111" spans="1:9" x14ac:dyDescent="0.35">
      <c r="A111" s="64">
        <f t="shared" si="10"/>
        <v>31</v>
      </c>
      <c r="B111" s="176">
        <f t="shared" si="12"/>
        <v>32738770.495945323</v>
      </c>
      <c r="C111" s="73" cm="1">
        <f t="array" ref="C111">Sell_price_LNG*(Increment+Inflation_Annual)^(A111-First_Yr)</f>
        <v>43.119454358368273</v>
      </c>
      <c r="D111" s="218">
        <f t="shared" si="13"/>
        <v>1411677920.1490083</v>
      </c>
      <c r="E111" s="10"/>
      <c r="F111" s="52">
        <f t="shared" si="11"/>
        <v>31</v>
      </c>
      <c r="G111" s="176">
        <f t="shared" si="14"/>
        <v>32738770.495945323</v>
      </c>
      <c r="H111" s="73" cm="1">
        <f t="array" ref="H111">Purch_price_LNG*(Increment+Inflation_Annual)^(F111-First_Yr)</f>
        <v>33.879571281575068</v>
      </c>
      <c r="I111" s="219">
        <f t="shared" si="15"/>
        <v>1109175508.6885064</v>
      </c>
    </row>
    <row r="112" spans="1:9" x14ac:dyDescent="0.35">
      <c r="A112" s="13"/>
      <c r="B112" s="10"/>
      <c r="C112" s="10"/>
      <c r="D112" s="10"/>
      <c r="E112" s="10"/>
      <c r="F112" s="10"/>
      <c r="G112" s="10"/>
      <c r="H112" s="10"/>
      <c r="I112" s="10"/>
    </row>
    <row r="113" spans="1:10" x14ac:dyDescent="0.35">
      <c r="A113" s="9" t="s">
        <v>157</v>
      </c>
      <c r="B113" s="10"/>
      <c r="C113" s="10"/>
      <c r="D113" s="10"/>
      <c r="E113" s="10"/>
      <c r="F113" s="135" t="s">
        <v>158</v>
      </c>
      <c r="G113" s="10"/>
      <c r="H113" s="10"/>
      <c r="I113" s="10"/>
    </row>
    <row r="114" spans="1:10" x14ac:dyDescent="0.35">
      <c r="A114" s="141" t="s">
        <v>108</v>
      </c>
      <c r="B114" s="141" t="s">
        <v>159</v>
      </c>
      <c r="C114" s="141" t="s">
        <v>160</v>
      </c>
      <c r="D114" s="144" t="s">
        <v>161</v>
      </c>
      <c r="E114" s="10"/>
      <c r="F114" s="141" t="s">
        <v>108</v>
      </c>
      <c r="G114" s="141" t="s">
        <v>162</v>
      </c>
      <c r="H114" s="141" t="s">
        <v>160</v>
      </c>
      <c r="I114" s="144" t="s">
        <v>163</v>
      </c>
    </row>
    <row r="115" spans="1:10" x14ac:dyDescent="0.35">
      <c r="A115" s="51">
        <f>Increment</f>
        <v>1</v>
      </c>
      <c r="B115" s="130"/>
      <c r="C115" s="130"/>
      <c r="D115" s="131"/>
      <c r="E115" s="10"/>
      <c r="F115" s="63">
        <f>Increment</f>
        <v>1</v>
      </c>
      <c r="G115" s="68"/>
      <c r="H115" s="133"/>
      <c r="I115" s="134"/>
    </row>
    <row r="116" spans="1:10" x14ac:dyDescent="0.35">
      <c r="A116" s="63">
        <f t="shared" ref="A116:A145" si="16">A115+Increment</f>
        <v>2</v>
      </c>
      <c r="B116" s="132" cm="1">
        <f t="array" ref="B116">Port_Fees*(Increment+Inflation_Annual)^(A116-First_Yr)</f>
        <v>220000</v>
      </c>
      <c r="C116" s="72" cm="1">
        <f t="array" ref="C116">ROUNDUP(B82/LNG_Tanker_Cap,0)</f>
        <v>109</v>
      </c>
      <c r="D116" s="216">
        <f>B116*C116</f>
        <v>23980000</v>
      </c>
      <c r="E116" s="10"/>
      <c r="F116" s="63">
        <f t="shared" ref="F116:F145" si="17">F115+Increment</f>
        <v>2</v>
      </c>
      <c r="G116" s="124" cm="1">
        <f t="array" ref="G116">Heavy_Fuel_Oil*Tons_Req_a_Trip*(Increment+Inflation_Annual)^(F116-First_Yr)</f>
        <v>9120</v>
      </c>
      <c r="H116" s="75" cm="1">
        <f t="array" ref="H116">ROUNDUP(G82/LNG_Tanker_Cap,0)</f>
        <v>109</v>
      </c>
      <c r="I116" s="217">
        <f>G116*H116</f>
        <v>994080</v>
      </c>
      <c r="J116" s="10"/>
    </row>
    <row r="117" spans="1:10" x14ac:dyDescent="0.35">
      <c r="A117" s="63">
        <f t="shared" si="16"/>
        <v>3</v>
      </c>
      <c r="B117" s="124" cm="1">
        <f t="array" ref="B117">Port_Fees*(Increment+Inflation_Annual)^(A117-First_Yr)</f>
        <v>223299.99999999997</v>
      </c>
      <c r="C117" s="75" cm="1">
        <f t="array" ref="C117">ROUNDUP(B83/LNG_Tanker_Cap,0)</f>
        <v>110</v>
      </c>
      <c r="D117" s="217">
        <f t="shared" ref="D117:D145" si="18">B117*C117</f>
        <v>24562999.999999996</v>
      </c>
      <c r="E117" s="10"/>
      <c r="F117" s="63">
        <f t="shared" si="17"/>
        <v>3</v>
      </c>
      <c r="G117" s="124" cm="1">
        <f t="array" ref="G117">Heavy_Fuel_Oil*Tons_Req_a_Trip*(Increment+Inflation_Annual)^(F117-First_Yr)</f>
        <v>9256.7999999999993</v>
      </c>
      <c r="H117" s="75" cm="1">
        <f t="array" ref="H117">ROUNDUP(G83/LNG_Tanker_Cap,0)</f>
        <v>110</v>
      </c>
      <c r="I117" s="217">
        <f t="shared" ref="I117:I145" si="19">G117*H117</f>
        <v>1018247.9999999999</v>
      </c>
      <c r="J117" s="10"/>
    </row>
    <row r="118" spans="1:10" x14ac:dyDescent="0.35">
      <c r="A118" s="63">
        <f t="shared" si="16"/>
        <v>4</v>
      </c>
      <c r="B118" s="124" cm="1">
        <f t="array" ref="B118">Port_Fees*(Increment+Inflation_Annual)^(A118-First_Yr)</f>
        <v>226649.49999999994</v>
      </c>
      <c r="C118" s="75" cm="1">
        <f t="array" ref="C118">ROUNDUP(B84/LNG_Tanker_Cap,0)</f>
        <v>111</v>
      </c>
      <c r="D118" s="217">
        <f t="shared" si="18"/>
        <v>25158094.499999993</v>
      </c>
      <c r="E118" s="10"/>
      <c r="F118" s="63">
        <f t="shared" si="17"/>
        <v>4</v>
      </c>
      <c r="G118" s="124" cm="1">
        <f t="array" ref="G118">Heavy_Fuel_Oil*Tons_Req_a_Trip*(Increment+Inflation_Annual)^(F118-First_Yr)</f>
        <v>9395.6519999999982</v>
      </c>
      <c r="H118" s="75" cm="1">
        <f t="array" ref="H118">ROUNDUP(G84/LNG_Tanker_Cap,0)</f>
        <v>111</v>
      </c>
      <c r="I118" s="217">
        <f t="shared" si="19"/>
        <v>1042917.3719999999</v>
      </c>
    </row>
    <row r="119" spans="1:10" x14ac:dyDescent="0.35">
      <c r="A119" s="63">
        <f t="shared" si="16"/>
        <v>5</v>
      </c>
      <c r="B119" s="124" cm="1">
        <f t="array" ref="B119">Port_Fees*(Increment+Inflation_Annual)^(A119-First_Yr)</f>
        <v>230049.24249999991</v>
      </c>
      <c r="C119" s="75" cm="1">
        <f t="array" ref="C119">ROUNDUP(B85/LNG_Tanker_Cap,0)</f>
        <v>111</v>
      </c>
      <c r="D119" s="217">
        <f t="shared" si="18"/>
        <v>25535465.917499989</v>
      </c>
      <c r="E119" s="10"/>
      <c r="F119" s="63">
        <f t="shared" si="17"/>
        <v>5</v>
      </c>
      <c r="G119" s="124" cm="1">
        <f t="array" ref="G119">Heavy_Fuel_Oil*Tons_Req_a_Trip*(Increment+Inflation_Annual)^(F119-First_Yr)</f>
        <v>9536.586779999996</v>
      </c>
      <c r="H119" s="75" cm="1">
        <f t="array" ref="H119">ROUNDUP(G85/LNG_Tanker_Cap,0)</f>
        <v>111</v>
      </c>
      <c r="I119" s="217">
        <f t="shared" si="19"/>
        <v>1058561.1325799995</v>
      </c>
      <c r="J119" s="10"/>
    </row>
    <row r="120" spans="1:10" x14ac:dyDescent="0.35">
      <c r="A120" s="63">
        <f t="shared" si="16"/>
        <v>6</v>
      </c>
      <c r="B120" s="124" cm="1">
        <f t="array" ref="B120">Port_Fees*(Increment+Inflation_Annual)^(A120-First_Yr)</f>
        <v>233499.98113749988</v>
      </c>
      <c r="C120" s="75" cm="1">
        <f t="array" ref="C120">ROUNDUP(B86/LNG_Tanker_Cap,0)</f>
        <v>112</v>
      </c>
      <c r="D120" s="217">
        <f t="shared" si="18"/>
        <v>26151997.887399986</v>
      </c>
      <c r="E120" s="10"/>
      <c r="F120" s="63">
        <f t="shared" si="17"/>
        <v>6</v>
      </c>
      <c r="G120" s="124" cm="1">
        <f t="array" ref="G120">Heavy_Fuel_Oil*Tons_Req_a_Trip*(Increment+Inflation_Annual)^(F120-First_Yr)</f>
        <v>9679.6355816999949</v>
      </c>
      <c r="H120" s="75" cm="1">
        <f t="array" ref="H120">ROUNDUP(G86/LNG_Tanker_Cap,0)</f>
        <v>112</v>
      </c>
      <c r="I120" s="217">
        <f t="shared" si="19"/>
        <v>1084119.1851503993</v>
      </c>
    </row>
    <row r="121" spans="1:10" x14ac:dyDescent="0.35">
      <c r="A121" s="63">
        <f t="shared" si="16"/>
        <v>7</v>
      </c>
      <c r="B121" s="124" cm="1">
        <f t="array" ref="B121">Port_Fees*(Increment+Inflation_Annual)^(A121-First_Yr)</f>
        <v>237002.48085456234</v>
      </c>
      <c r="C121" s="75" cm="1">
        <f t="array" ref="C121">ROUNDUP(B87/LNG_Tanker_Cap,0)</f>
        <v>112</v>
      </c>
      <c r="D121" s="217">
        <f t="shared" si="18"/>
        <v>26544277.855710983</v>
      </c>
      <c r="E121" s="10"/>
      <c r="F121" s="63">
        <f t="shared" si="17"/>
        <v>7</v>
      </c>
      <c r="G121" s="124" cm="1">
        <f t="array" ref="G121">Heavy_Fuel_Oil*Tons_Req_a_Trip*(Increment+Inflation_Annual)^(F121-First_Yr)</f>
        <v>9824.8301154254932</v>
      </c>
      <c r="H121" s="75" cm="1">
        <f t="array" ref="H121">ROUNDUP(G87/LNG_Tanker_Cap,0)</f>
        <v>112</v>
      </c>
      <c r="I121" s="217">
        <f t="shared" si="19"/>
        <v>1100380.9729276553</v>
      </c>
    </row>
    <row r="122" spans="1:10" x14ac:dyDescent="0.35">
      <c r="A122" s="63">
        <f t="shared" si="16"/>
        <v>8</v>
      </c>
      <c r="B122" s="124" cm="1">
        <f t="array" ref="B122">Port_Fees*(Increment+Inflation_Annual)^(A122-First_Yr)</f>
        <v>240557.51806738073</v>
      </c>
      <c r="C122" s="75" cm="1">
        <f t="array" ref="C122">ROUNDUP(B88/LNG_Tanker_Cap,0)</f>
        <v>113</v>
      </c>
      <c r="D122" s="217">
        <f t="shared" si="18"/>
        <v>27182999.541614022</v>
      </c>
      <c r="E122" s="10"/>
      <c r="F122" s="63">
        <f t="shared" si="17"/>
        <v>8</v>
      </c>
      <c r="G122" s="124" cm="1">
        <f t="array" ref="G122">Heavy_Fuel_Oil*Tons_Req_a_Trip*(Increment+Inflation_Annual)^(F122-First_Yr)</f>
        <v>9972.2025671568736</v>
      </c>
      <c r="H122" s="75" cm="1">
        <f t="array" ref="H122">ROUNDUP(G88/LNG_Tanker_Cap,0)</f>
        <v>113</v>
      </c>
      <c r="I122" s="217">
        <f t="shared" si="19"/>
        <v>1126858.8900887268</v>
      </c>
    </row>
    <row r="123" spans="1:10" x14ac:dyDescent="0.35">
      <c r="A123" s="63">
        <f t="shared" si="16"/>
        <v>9</v>
      </c>
      <c r="B123" s="124" cm="1">
        <f t="array" ref="B123">Port_Fees*(Increment+Inflation_Annual)^(A123-First_Yr)</f>
        <v>244165.8808383914</v>
      </c>
      <c r="C123" s="75" cm="1">
        <f t="array" ref="C123">ROUNDUP(B89/LNG_Tanker_Cap,0)</f>
        <v>113</v>
      </c>
      <c r="D123" s="217">
        <f t="shared" si="18"/>
        <v>27590744.534738228</v>
      </c>
      <c r="E123" s="10"/>
      <c r="F123" s="63">
        <f t="shared" si="17"/>
        <v>9</v>
      </c>
      <c r="G123" s="124" cm="1">
        <f t="array" ref="G123">Heavy_Fuel_Oil*Tons_Req_a_Trip*(Increment+Inflation_Annual)^(F123-First_Yr)</f>
        <v>10121.785605664225</v>
      </c>
      <c r="H123" s="75" cm="1">
        <f t="array" ref="H123">ROUNDUP(G89/LNG_Tanker_Cap,0)</f>
        <v>113</v>
      </c>
      <c r="I123" s="217">
        <f t="shared" si="19"/>
        <v>1143761.7734400574</v>
      </c>
    </row>
    <row r="124" spans="1:10" x14ac:dyDescent="0.35">
      <c r="A124" s="63">
        <f t="shared" si="16"/>
        <v>10</v>
      </c>
      <c r="B124" s="124" cm="1">
        <f t="array" ref="B124">Port_Fees*(Increment+Inflation_Annual)^(A124-First_Yr)</f>
        <v>247828.36905096725</v>
      </c>
      <c r="C124" s="75" cm="1">
        <f t="array" ref="C124">ROUNDUP(B90/LNG_Tanker_Cap,0)</f>
        <v>114</v>
      </c>
      <c r="D124" s="217">
        <f t="shared" si="18"/>
        <v>28252434.071810264</v>
      </c>
      <c r="E124" s="10"/>
      <c r="F124" s="63">
        <f t="shared" si="17"/>
        <v>10</v>
      </c>
      <c r="G124" s="124" cm="1">
        <f t="array" ref="G124">Heavy_Fuel_Oil*Tons_Req_a_Trip*(Increment+Inflation_Annual)^(F124-First_Yr)</f>
        <v>10273.612389749189</v>
      </c>
      <c r="H124" s="75" cm="1">
        <f t="array" ref="H124">ROUNDUP(G90/LNG_Tanker_Cap,0)</f>
        <v>114</v>
      </c>
      <c r="I124" s="217">
        <f t="shared" si="19"/>
        <v>1171191.8124314076</v>
      </c>
    </row>
    <row r="125" spans="1:10" x14ac:dyDescent="0.35">
      <c r="A125" s="63">
        <f t="shared" si="16"/>
        <v>11</v>
      </c>
      <c r="B125" s="124" cm="1">
        <f t="array" ref="B125">Port_Fees*(Increment+Inflation_Annual)^(A125-First_Yr)</f>
        <v>251545.79458673173</v>
      </c>
      <c r="C125" s="75" cm="1">
        <f t="array" ref="C125">ROUNDUP(B91/LNG_Tanker_Cap,0)</f>
        <v>114</v>
      </c>
      <c r="D125" s="217">
        <f t="shared" si="18"/>
        <v>28676220.582887419</v>
      </c>
      <c r="E125" s="10"/>
      <c r="F125" s="63">
        <f t="shared" si="17"/>
        <v>11</v>
      </c>
      <c r="G125" s="124" cm="1">
        <f t="array" ref="G125">Heavy_Fuel_Oil*Tons_Req_a_Trip*(Increment+Inflation_Annual)^(F125-First_Yr)</f>
        <v>10427.716575595425</v>
      </c>
      <c r="H125" s="75" cm="1">
        <f t="array" ref="H125">ROUNDUP(G91/LNG_Tanker_Cap,0)</f>
        <v>114</v>
      </c>
      <c r="I125" s="217">
        <f t="shared" si="19"/>
        <v>1188759.6896178785</v>
      </c>
    </row>
    <row r="126" spans="1:10" x14ac:dyDescent="0.35">
      <c r="A126" s="63">
        <f t="shared" si="16"/>
        <v>12</v>
      </c>
      <c r="B126" s="124" cm="1">
        <f t="array" ref="B126">Port_Fees*(Increment+Inflation_Annual)^(A126-First_Yr)</f>
        <v>255318.98150553269</v>
      </c>
      <c r="C126" s="75" cm="1">
        <f t="array" ref="C126">ROUNDUP(B92/LNG_Tanker_Cap,0)</f>
        <v>115</v>
      </c>
      <c r="D126" s="217">
        <f t="shared" si="18"/>
        <v>29361682.87313626</v>
      </c>
      <c r="E126" s="10"/>
      <c r="F126" s="63">
        <f t="shared" si="17"/>
        <v>12</v>
      </c>
      <c r="G126" s="124" cm="1">
        <f t="array" ref="G126">Heavy_Fuel_Oil*Tons_Req_a_Trip*(Increment+Inflation_Annual)^(F126-First_Yr)</f>
        <v>10584.132324229355</v>
      </c>
      <c r="H126" s="75" cm="1">
        <f t="array" ref="H126">ROUNDUP(G92/LNG_Tanker_Cap,0)</f>
        <v>115</v>
      </c>
      <c r="I126" s="217">
        <f t="shared" si="19"/>
        <v>1217175.2172863758</v>
      </c>
    </row>
    <row r="127" spans="1:10" x14ac:dyDescent="0.35">
      <c r="A127" s="63">
        <f t="shared" si="16"/>
        <v>13</v>
      </c>
      <c r="B127" s="124" cm="1">
        <f t="array" ref="B127">Port_Fees*(Increment+Inflation_Annual)^(A127-First_Yr)</f>
        <v>259148.76622811565</v>
      </c>
      <c r="C127" s="75" cm="1">
        <f t="array" ref="C127">ROUNDUP(B93/LNG_Tanker_Cap,0)</f>
        <v>116</v>
      </c>
      <c r="D127" s="217">
        <f t="shared" si="18"/>
        <v>30061256.882461414</v>
      </c>
      <c r="E127" s="10"/>
      <c r="F127" s="63">
        <f t="shared" si="17"/>
        <v>13</v>
      </c>
      <c r="G127" s="124" cm="1">
        <f t="array" ref="G127">Heavy_Fuel_Oil*Tons_Req_a_Trip*(Increment+Inflation_Annual)^(F127-First_Yr)</f>
        <v>10742.894309092793</v>
      </c>
      <c r="H127" s="75" cm="1">
        <f t="array" ref="H127">ROUNDUP(G93/LNG_Tanker_Cap,0)</f>
        <v>116</v>
      </c>
      <c r="I127" s="217">
        <f t="shared" si="19"/>
        <v>1246175.739854764</v>
      </c>
    </row>
    <row r="128" spans="1:10" x14ac:dyDescent="0.35">
      <c r="A128" s="63">
        <f t="shared" si="16"/>
        <v>14</v>
      </c>
      <c r="B128" s="124" cm="1">
        <f t="array" ref="B128">Port_Fees*(Increment+Inflation_Annual)^(A128-First_Yr)</f>
        <v>263035.99772153731</v>
      </c>
      <c r="C128" s="75" cm="1">
        <f t="array" ref="C128">ROUNDUP(B94/LNG_Tanker_Cap,0)</f>
        <v>116</v>
      </c>
      <c r="D128" s="217">
        <f t="shared" si="18"/>
        <v>30512175.735698327</v>
      </c>
      <c r="E128" s="10"/>
      <c r="F128" s="63">
        <f t="shared" si="17"/>
        <v>14</v>
      </c>
      <c r="G128" s="124" cm="1">
        <f t="array" ref="G128">Heavy_Fuel_Oil*Tons_Req_a_Trip*(Increment+Inflation_Annual)^(F128-First_Yr)</f>
        <v>10904.037723729183</v>
      </c>
      <c r="H128" s="75" cm="1">
        <f t="array" ref="H128">ROUNDUP(G94/LNG_Tanker_Cap,0)</f>
        <v>116</v>
      </c>
      <c r="I128" s="217">
        <f t="shared" si="19"/>
        <v>1264868.3759525851</v>
      </c>
    </row>
    <row r="129" spans="1:9" x14ac:dyDescent="0.35">
      <c r="A129" s="63">
        <f t="shared" si="16"/>
        <v>15</v>
      </c>
      <c r="B129" s="124" cm="1">
        <f t="array" ref="B129">Port_Fees*(Increment+Inflation_Annual)^(A129-First_Yr)</f>
        <v>266981.53768736037</v>
      </c>
      <c r="C129" s="75" cm="1">
        <f t="array" ref="C129">ROUNDUP(B95/LNG_Tanker_Cap,0)</f>
        <v>117</v>
      </c>
      <c r="D129" s="217">
        <f t="shared" si="18"/>
        <v>31236839.909421165</v>
      </c>
      <c r="E129" s="10"/>
      <c r="F129" s="63">
        <f t="shared" si="17"/>
        <v>15</v>
      </c>
      <c r="G129" s="124" cm="1">
        <f t="array" ref="G129">Heavy_Fuel_Oil*Tons_Req_a_Trip*(Increment+Inflation_Annual)^(F129-First_Yr)</f>
        <v>11067.598289585121</v>
      </c>
      <c r="H129" s="75" cm="1">
        <f t="array" ref="H129">ROUNDUP(G95/LNG_Tanker_Cap,0)</f>
        <v>117</v>
      </c>
      <c r="I129" s="217">
        <f t="shared" si="19"/>
        <v>1294908.9998814592</v>
      </c>
    </row>
    <row r="130" spans="1:9" x14ac:dyDescent="0.35">
      <c r="A130" s="63">
        <f t="shared" si="16"/>
        <v>16</v>
      </c>
      <c r="B130" s="124" cm="1">
        <f t="array" ref="B130">Port_Fees*(Increment+Inflation_Annual)^(A130-First_Yr)</f>
        <v>270986.2607526707</v>
      </c>
      <c r="C130" s="75" cm="1">
        <f t="array" ref="C130">ROUNDUP(B96/LNG_Tanker_Cap,0)</f>
        <v>117</v>
      </c>
      <c r="D130" s="217">
        <f t="shared" si="18"/>
        <v>31705392.508062471</v>
      </c>
      <c r="E130" s="10"/>
      <c r="F130" s="63">
        <f t="shared" si="17"/>
        <v>16</v>
      </c>
      <c r="G130" s="124" cm="1">
        <f t="array" ref="G130">Heavy_Fuel_Oil*Tons_Req_a_Trip*(Increment+Inflation_Annual)^(F130-First_Yr)</f>
        <v>11233.612263928895</v>
      </c>
      <c r="H130" s="75" cm="1">
        <f t="array" ref="H130">ROUNDUP(G96/LNG_Tanker_Cap,0)</f>
        <v>117</v>
      </c>
      <c r="I130" s="217">
        <f t="shared" si="19"/>
        <v>1314332.6348796808</v>
      </c>
    </row>
    <row r="131" spans="1:9" x14ac:dyDescent="0.35">
      <c r="A131" s="63">
        <f t="shared" si="16"/>
        <v>17</v>
      </c>
      <c r="B131" s="124" cm="1">
        <f t="array" ref="B131">Port_Fees*(Increment+Inflation_Annual)^(A131-First_Yr)</f>
        <v>275051.05466396071</v>
      </c>
      <c r="C131" s="75" cm="1">
        <f t="array" ref="C131">ROUNDUP(B97/LNG_Tanker_Cap,0)</f>
        <v>118</v>
      </c>
      <c r="D131" s="217">
        <f t="shared" si="18"/>
        <v>32456024.450347364</v>
      </c>
      <c r="E131" s="10"/>
      <c r="F131" s="63">
        <f t="shared" si="17"/>
        <v>17</v>
      </c>
      <c r="G131" s="124" cm="1">
        <f t="array" ref="G131">Heavy_Fuel_Oil*Tons_Req_a_Trip*(Increment+Inflation_Annual)^(F131-First_Yr)</f>
        <v>11402.116447887827</v>
      </c>
      <c r="H131" s="75" cm="1">
        <f t="array" ref="H131">ROUNDUP(G97/LNG_Tanker_Cap,0)</f>
        <v>118</v>
      </c>
      <c r="I131" s="217">
        <f t="shared" si="19"/>
        <v>1345449.7408507636</v>
      </c>
    </row>
    <row r="132" spans="1:9" x14ac:dyDescent="0.35">
      <c r="A132" s="63">
        <f t="shared" si="16"/>
        <v>18</v>
      </c>
      <c r="B132" s="124" cm="1">
        <f t="array" ref="B132">Port_Fees*(Increment+Inflation_Annual)^(A132-First_Yr)</f>
        <v>279176.82048392011</v>
      </c>
      <c r="C132" s="75" cm="1">
        <f t="array" ref="C132">ROUNDUP(B98/LNG_Tanker_Cap,0)</f>
        <v>119</v>
      </c>
      <c r="D132" s="217">
        <f t="shared" si="18"/>
        <v>33222041.637586493</v>
      </c>
      <c r="E132" s="10"/>
      <c r="F132" s="63">
        <f t="shared" si="17"/>
        <v>18</v>
      </c>
      <c r="G132" s="124" cm="1">
        <f t="array" ref="G132">Heavy_Fuel_Oil*Tons_Req_a_Trip*(Increment+Inflation_Annual)^(F132-First_Yr)</f>
        <v>11573.148194606143</v>
      </c>
      <c r="H132" s="75" cm="1">
        <f t="array" ref="H132">ROUNDUP(G98/LNG_Tanker_Cap,0)</f>
        <v>119</v>
      </c>
      <c r="I132" s="217">
        <f t="shared" si="19"/>
        <v>1377204.6351581311</v>
      </c>
    </row>
    <row r="133" spans="1:9" x14ac:dyDescent="0.35">
      <c r="A133" s="63">
        <f t="shared" si="16"/>
        <v>19</v>
      </c>
      <c r="B133" s="124" cm="1">
        <f t="array" ref="B133">Port_Fees*(Increment+Inflation_Annual)^(A133-First_Yr)</f>
        <v>283364.47279117885</v>
      </c>
      <c r="C133" s="75" cm="1">
        <f t="array" ref="C133">ROUNDUP(B99/LNG_Tanker_Cap,0)</f>
        <v>119</v>
      </c>
      <c r="D133" s="217">
        <f t="shared" si="18"/>
        <v>33720372.26215028</v>
      </c>
      <c r="E133" s="10"/>
      <c r="F133" s="63">
        <f t="shared" si="17"/>
        <v>19</v>
      </c>
      <c r="G133" s="124" cm="1">
        <f t="array" ref="G133">Heavy_Fuel_Oil*Tons_Req_a_Trip*(Increment+Inflation_Annual)^(F133-First_Yr)</f>
        <v>11746.745417525233</v>
      </c>
      <c r="H133" s="75" cm="1">
        <f t="array" ref="H133">ROUNDUP(G99/LNG_Tanker_Cap,0)</f>
        <v>119</v>
      </c>
      <c r="I133" s="217">
        <f t="shared" si="19"/>
        <v>1397862.7046855027</v>
      </c>
    </row>
    <row r="134" spans="1:9" x14ac:dyDescent="0.35">
      <c r="A134" s="63">
        <f t="shared" si="16"/>
        <v>20</v>
      </c>
      <c r="B134" s="124" cm="1">
        <f t="array" ref="B134">Port_Fees*(Increment+Inflation_Annual)^(A134-First_Yr)</f>
        <v>287614.93988304649</v>
      </c>
      <c r="C134" s="75" cm="1">
        <f t="array" ref="C134">ROUNDUP(B100/LNG_Tanker_Cap,0)</f>
        <v>120</v>
      </c>
      <c r="D134" s="217">
        <f t="shared" si="18"/>
        <v>34513792.785965577</v>
      </c>
      <c r="E134" s="10"/>
      <c r="F134" s="63">
        <f t="shared" si="17"/>
        <v>20</v>
      </c>
      <c r="G134" s="124" cm="1">
        <f t="array" ref="G134">Heavy_Fuel_Oil*Tons_Req_a_Trip*(Increment+Inflation_Annual)^(F134-First_Yr)</f>
        <v>11922.94659878811</v>
      </c>
      <c r="H134" s="75" cm="1">
        <f t="array" ref="H134">ROUNDUP(G100/LNG_Tanker_Cap,0)</f>
        <v>120</v>
      </c>
      <c r="I134" s="217">
        <f t="shared" si="19"/>
        <v>1430753.5918545732</v>
      </c>
    </row>
    <row r="135" spans="1:9" x14ac:dyDescent="0.35">
      <c r="A135" s="63">
        <f t="shared" si="16"/>
        <v>21</v>
      </c>
      <c r="B135" s="124" cm="1">
        <f t="array" ref="B135">Port_Fees*(Increment+Inflation_Annual)^(A135-First_Yr)</f>
        <v>291929.16398129216</v>
      </c>
      <c r="C135" s="75" cm="1">
        <f t="array" ref="C135">ROUNDUP(B101/LNG_Tanker_Cap,0)</f>
        <v>120</v>
      </c>
      <c r="D135" s="217">
        <f t="shared" si="18"/>
        <v>35031499.677755058</v>
      </c>
      <c r="E135" s="10"/>
      <c r="F135" s="63">
        <f t="shared" si="17"/>
        <v>21</v>
      </c>
      <c r="G135" s="124" cm="1">
        <f t="array" ref="G135">Heavy_Fuel_Oil*Tons_Req_a_Trip*(Increment+Inflation_Annual)^(F135-First_Yr)</f>
        <v>12101.790797769931</v>
      </c>
      <c r="H135" s="75" cm="1">
        <f t="array" ref="H135">ROUNDUP(G101/LNG_Tanker_Cap,0)</f>
        <v>120</v>
      </c>
      <c r="I135" s="217">
        <f t="shared" si="19"/>
        <v>1452214.8957323916</v>
      </c>
    </row>
    <row r="136" spans="1:9" x14ac:dyDescent="0.35">
      <c r="A136" s="63">
        <f t="shared" si="16"/>
        <v>22</v>
      </c>
      <c r="B136" s="124" cm="1">
        <f t="array" ref="B136">Port_Fees*(Increment+Inflation_Annual)^(A136-First_Yr)</f>
        <v>296308.10144101147</v>
      </c>
      <c r="C136" s="75" cm="1">
        <f t="array" ref="C136">ROUNDUP(B102/LNG_Tanker_Cap,0)</f>
        <v>121</v>
      </c>
      <c r="D136" s="217">
        <f t="shared" si="18"/>
        <v>35853280.274362385</v>
      </c>
      <c r="E136" s="10"/>
      <c r="F136" s="63">
        <f t="shared" si="17"/>
        <v>22</v>
      </c>
      <c r="G136" s="124" cm="1">
        <f t="array" ref="G136">Heavy_Fuel_Oil*Tons_Req_a_Trip*(Increment+Inflation_Annual)^(F136-First_Yr)</f>
        <v>12283.317659736476</v>
      </c>
      <c r="H136" s="75" cm="1">
        <f t="array" ref="H136">ROUNDUP(G102/LNG_Tanker_Cap,0)</f>
        <v>121</v>
      </c>
      <c r="I136" s="217">
        <f t="shared" si="19"/>
        <v>1486281.4368281136</v>
      </c>
    </row>
    <row r="137" spans="1:9" x14ac:dyDescent="0.35">
      <c r="A137" s="63">
        <f t="shared" si="16"/>
        <v>23</v>
      </c>
      <c r="B137" s="124" cm="1">
        <f t="array" ref="B137">Port_Fees*(Increment+Inflation_Annual)^(A137-First_Yr)</f>
        <v>300752.72296262661</v>
      </c>
      <c r="C137" s="75" cm="1">
        <f t="array" ref="C137">ROUNDUP(B103/LNG_Tanker_Cap,0)</f>
        <v>121</v>
      </c>
      <c r="D137" s="217">
        <f t="shared" si="18"/>
        <v>36391079.478477821</v>
      </c>
      <c r="E137" s="10"/>
      <c r="F137" s="63">
        <f t="shared" si="17"/>
        <v>23</v>
      </c>
      <c r="G137" s="124" cm="1">
        <f t="array" ref="G137">Heavy_Fuel_Oil*Tons_Req_a_Trip*(Increment+Inflation_Annual)^(F137-First_Yr)</f>
        <v>12467.567424632522</v>
      </c>
      <c r="H137" s="75" cm="1">
        <f t="array" ref="H137">ROUNDUP(G103/LNG_Tanker_Cap,0)</f>
        <v>121</v>
      </c>
      <c r="I137" s="217">
        <f t="shared" si="19"/>
        <v>1508575.6583805352</v>
      </c>
    </row>
    <row r="138" spans="1:9" x14ac:dyDescent="0.35">
      <c r="A138" s="63">
        <f t="shared" si="16"/>
        <v>24</v>
      </c>
      <c r="B138" s="124" cm="1">
        <f t="array" ref="B138">Port_Fees*(Increment+Inflation_Annual)^(A138-First_Yr)</f>
        <v>305264.01380706596</v>
      </c>
      <c r="C138" s="75" cm="1">
        <f t="array" ref="C138">ROUNDUP(B104/LNG_Tanker_Cap,0)</f>
        <v>122</v>
      </c>
      <c r="D138" s="217">
        <f t="shared" si="18"/>
        <v>37242209.684462048</v>
      </c>
      <c r="E138" s="10"/>
      <c r="F138" s="63">
        <f t="shared" si="17"/>
        <v>24</v>
      </c>
      <c r="G138" s="124" cm="1">
        <f t="array" ref="G138">Heavy_Fuel_Oil*Tons_Req_a_Trip*(Increment+Inflation_Annual)^(F138-First_Yr)</f>
        <v>12654.580936002007</v>
      </c>
      <c r="H138" s="75" cm="1">
        <f t="array" ref="H138">ROUNDUP(G104/LNG_Tanker_Cap,0)</f>
        <v>122</v>
      </c>
      <c r="I138" s="217">
        <f t="shared" si="19"/>
        <v>1543858.8741922448</v>
      </c>
    </row>
    <row r="139" spans="1:9" x14ac:dyDescent="0.35">
      <c r="A139" s="63">
        <f t="shared" si="16"/>
        <v>25</v>
      </c>
      <c r="B139" s="124" cm="1">
        <f t="array" ref="B139">Port_Fees*(Increment+Inflation_Annual)^(A139-First_Yr)</f>
        <v>309842.97401417192</v>
      </c>
      <c r="C139" s="75" cm="1">
        <f t="array" ref="C139">ROUNDUP(B105/LNG_Tanker_Cap,0)</f>
        <v>123</v>
      </c>
      <c r="D139" s="217">
        <f t="shared" si="18"/>
        <v>38110685.803743146</v>
      </c>
      <c r="E139" s="10"/>
      <c r="F139" s="63">
        <f t="shared" si="17"/>
        <v>25</v>
      </c>
      <c r="G139" s="124" cm="1">
        <f t="array" ref="G139">Heavy_Fuel_Oil*Tons_Req_a_Trip*(Increment+Inflation_Annual)^(F139-First_Yr)</f>
        <v>12844.399650042036</v>
      </c>
      <c r="H139" s="75" cm="1">
        <f t="array" ref="H139">ROUNDUP(G105/LNG_Tanker_Cap,0)</f>
        <v>123</v>
      </c>
      <c r="I139" s="217">
        <f t="shared" si="19"/>
        <v>1579861.1569551704</v>
      </c>
    </row>
    <row r="140" spans="1:9" x14ac:dyDescent="0.35">
      <c r="A140" s="63">
        <f t="shared" si="16"/>
        <v>26</v>
      </c>
      <c r="B140" s="124" cm="1">
        <f t="array" ref="B140">Port_Fees*(Increment+Inflation_Annual)^(A140-First_Yr)</f>
        <v>314490.61862438446</v>
      </c>
      <c r="C140" s="75" cm="1">
        <f t="array" ref="C140">ROUNDUP(B106/LNG_Tanker_Cap,0)</f>
        <v>123</v>
      </c>
      <c r="D140" s="217">
        <f t="shared" si="18"/>
        <v>38682346.090799287</v>
      </c>
      <c r="E140" s="10"/>
      <c r="F140" s="63">
        <f t="shared" si="17"/>
        <v>26</v>
      </c>
      <c r="G140" s="124" cm="1">
        <f t="array" ref="G140">Heavy_Fuel_Oil*Tons_Req_a_Trip*(Increment+Inflation_Annual)^(F140-First_Yr)</f>
        <v>13037.065644792665</v>
      </c>
      <c r="H140" s="75" cm="1">
        <f t="array" ref="H140">ROUNDUP(G106/LNG_Tanker_Cap,0)</f>
        <v>123</v>
      </c>
      <c r="I140" s="217">
        <f t="shared" si="19"/>
        <v>1603559.0743094978</v>
      </c>
    </row>
    <row r="141" spans="1:9" x14ac:dyDescent="0.35">
      <c r="A141" s="63">
        <f t="shared" si="16"/>
        <v>27</v>
      </c>
      <c r="B141" s="124" cm="1">
        <f t="array" ref="B141">Port_Fees*(Increment+Inflation_Annual)^(A141-First_Yr)</f>
        <v>319207.9779037502</v>
      </c>
      <c r="C141" s="75" cm="1">
        <f t="array" ref="C141">ROUNDUP(B107/LNG_Tanker_Cap,0)</f>
        <v>124</v>
      </c>
      <c r="D141" s="217">
        <f t="shared" si="18"/>
        <v>39581789.260065027</v>
      </c>
      <c r="E141" s="10"/>
      <c r="F141" s="63">
        <f t="shared" si="17"/>
        <v>27</v>
      </c>
      <c r="G141" s="124" cm="1">
        <f t="array" ref="G141">Heavy_Fuel_Oil*Tons_Req_a_Trip*(Increment+Inflation_Annual)^(F141-First_Yr)</f>
        <v>13232.621629464555</v>
      </c>
      <c r="H141" s="75" cm="1">
        <f t="array" ref="H141">ROUNDUP(G107/LNG_Tanker_Cap,0)</f>
        <v>124</v>
      </c>
      <c r="I141" s="217">
        <f t="shared" si="19"/>
        <v>1640845.0820536048</v>
      </c>
    </row>
    <row r="142" spans="1:9" x14ac:dyDescent="0.35">
      <c r="A142" s="63">
        <f t="shared" si="16"/>
        <v>28</v>
      </c>
      <c r="B142" s="124" cm="1">
        <f t="array" ref="B142">Port_Fees*(Increment+Inflation_Annual)^(A142-First_Yr)</f>
        <v>323996.0975723064</v>
      </c>
      <c r="C142" s="75" cm="1">
        <f t="array" ref="C142">ROUNDUP(B108/LNG_Tanker_Cap,0)</f>
        <v>125</v>
      </c>
      <c r="D142" s="217">
        <f t="shared" si="18"/>
        <v>40499512.196538299</v>
      </c>
      <c r="E142" s="10"/>
      <c r="F142" s="63">
        <f t="shared" si="17"/>
        <v>28</v>
      </c>
      <c r="G142" s="124" cm="1">
        <f t="array" ref="G142">Heavy_Fuel_Oil*Tons_Req_a_Trip*(Increment+Inflation_Annual)^(F142-First_Yr)</f>
        <v>13431.11095390652</v>
      </c>
      <c r="H142" s="75" cm="1">
        <f t="array" ref="H142">ROUNDUP(G108/LNG_Tanker_Cap,0)</f>
        <v>125</v>
      </c>
      <c r="I142" s="217">
        <f t="shared" si="19"/>
        <v>1678888.8692383149</v>
      </c>
    </row>
    <row r="143" spans="1:9" x14ac:dyDescent="0.35">
      <c r="A143" s="63">
        <f t="shared" si="16"/>
        <v>29</v>
      </c>
      <c r="B143" s="124" cm="1">
        <f t="array" ref="B143">Port_Fees*(Increment+Inflation_Annual)^(A143-First_Yr)</f>
        <v>328856.03903589101</v>
      </c>
      <c r="C143" s="75" cm="1">
        <f t="array" ref="C143">ROUNDUP(B109/LNG_Tanker_Cap,0)</f>
        <v>125</v>
      </c>
      <c r="D143" s="217">
        <f t="shared" si="18"/>
        <v>41107004.879486375</v>
      </c>
      <c r="E143" s="10"/>
      <c r="F143" s="63">
        <f t="shared" si="17"/>
        <v>29</v>
      </c>
      <c r="G143" s="124" cm="1">
        <f t="array" ref="G143">Heavy_Fuel_Oil*Tons_Req_a_Trip*(Increment+Inflation_Annual)^(F143-First_Yr)</f>
        <v>13632.577618215117</v>
      </c>
      <c r="H143" s="75" cm="1">
        <f t="array" ref="H143">ROUNDUP(G109/LNG_Tanker_Cap,0)</f>
        <v>125</v>
      </c>
      <c r="I143" s="217">
        <f t="shared" si="19"/>
        <v>1704072.2022768897</v>
      </c>
    </row>
    <row r="144" spans="1:9" x14ac:dyDescent="0.35">
      <c r="A144" s="63">
        <f t="shared" si="16"/>
        <v>30</v>
      </c>
      <c r="B144" s="124" cm="1">
        <f t="array" ref="B144">Port_Fees*(Increment+Inflation_Annual)^(A144-First_Yr)</f>
        <v>333788.87962142925</v>
      </c>
      <c r="C144" s="75" cm="1">
        <f t="array" ref="C144">ROUNDUP(B110/LNG_Tanker_Cap,0)</f>
        <v>126</v>
      </c>
      <c r="D144" s="217">
        <f t="shared" si="18"/>
        <v>42057398.832300089</v>
      </c>
      <c r="E144" s="10"/>
      <c r="F144" s="63">
        <f t="shared" si="17"/>
        <v>30</v>
      </c>
      <c r="G144" s="124" cm="1">
        <f t="array" ref="G144">Heavy_Fuel_Oil*Tons_Req_a_Trip*(Increment+Inflation_Annual)^(F144-First_Yr)</f>
        <v>13837.06628248834</v>
      </c>
      <c r="H144" s="75" cm="1">
        <f t="array" ref="H144">ROUNDUP(G110/LNG_Tanker_Cap,0)</f>
        <v>126</v>
      </c>
      <c r="I144" s="217">
        <f t="shared" si="19"/>
        <v>1743470.351593531</v>
      </c>
    </row>
    <row r="145" spans="1:9" x14ac:dyDescent="0.35">
      <c r="A145" s="64">
        <f t="shared" si="16"/>
        <v>31</v>
      </c>
      <c r="B145" s="126" cm="1">
        <f t="array" ref="B145">Port_Fees*(Increment+Inflation_Annual)^(A145-First_Yr)</f>
        <v>338795.71281575068</v>
      </c>
      <c r="C145" s="73" cm="1">
        <f t="array" ref="C145">ROUNDUP(B111/LNG_Tanker_Cap,0)</f>
        <v>126</v>
      </c>
      <c r="D145" s="218">
        <f t="shared" si="18"/>
        <v>42688259.814784586</v>
      </c>
      <c r="E145" s="10"/>
      <c r="F145" s="64">
        <f t="shared" si="17"/>
        <v>31</v>
      </c>
      <c r="G145" s="126" cm="1">
        <f t="array" ref="G145">Heavy_Fuel_Oil*Tons_Req_a_Trip*(Increment+Inflation_Annual)^(F145-First_Yr)</f>
        <v>14044.622276725666</v>
      </c>
      <c r="H145" s="73" cm="1">
        <f t="array" ref="H145">ROUNDUP(G111/LNG_Tanker_Cap,0)</f>
        <v>126</v>
      </c>
      <c r="I145" s="218">
        <f t="shared" si="19"/>
        <v>1769622.4068674338</v>
      </c>
    </row>
    <row r="146" spans="1:9" x14ac:dyDescent="0.35">
      <c r="B146" s="10"/>
      <c r="C146" s="10"/>
      <c r="D146" s="10"/>
      <c r="E146" s="10"/>
      <c r="F146" s="10"/>
      <c r="G146" s="10"/>
      <c r="H146" s="10"/>
      <c r="I146" s="10"/>
    </row>
    <row r="147" spans="1:9" x14ac:dyDescent="0.35">
      <c r="A147" s="9" t="s">
        <v>164</v>
      </c>
      <c r="B147" s="10"/>
      <c r="C147" s="10"/>
      <c r="D147" s="10"/>
      <c r="E147" s="10"/>
      <c r="F147" s="10"/>
      <c r="G147" s="10"/>
      <c r="H147" s="10"/>
      <c r="I147" s="10"/>
    </row>
    <row r="148" spans="1:9" x14ac:dyDescent="0.35">
      <c r="A148" s="141" t="s">
        <v>108</v>
      </c>
      <c r="B148" s="141" t="s">
        <v>165</v>
      </c>
      <c r="C148" s="141" t="s">
        <v>160</v>
      </c>
      <c r="D148" s="144" t="s">
        <v>161</v>
      </c>
      <c r="E148" s="10"/>
      <c r="F148" s="10"/>
      <c r="G148" s="10"/>
      <c r="H148" s="10"/>
      <c r="I148" s="10"/>
    </row>
    <row r="149" spans="1:9" x14ac:dyDescent="0.35">
      <c r="A149" s="51">
        <f>Increment</f>
        <v>1</v>
      </c>
      <c r="B149" s="130"/>
      <c r="C149" s="130"/>
      <c r="D149" s="131"/>
      <c r="E149" s="10"/>
      <c r="F149" s="10"/>
      <c r="G149" s="10"/>
      <c r="H149" s="10"/>
      <c r="I149" s="10"/>
    </row>
    <row r="150" spans="1:9" x14ac:dyDescent="0.35">
      <c r="A150" s="63">
        <f t="shared" ref="A150:A179" si="20">A149+Increment</f>
        <v>2</v>
      </c>
      <c r="B150" s="132" cm="1">
        <f t="array" ref="B150">Operating_Exp*(Increment+Inflation_Annual)^(A150-First_Yr)</f>
        <v>40000</v>
      </c>
      <c r="C150" s="72" cm="1">
        <f t="array" ref="C150">ROUNDUP(B82/LNG_Tanker_Cap,0)</f>
        <v>109</v>
      </c>
      <c r="D150" s="216">
        <f>B150*C150</f>
        <v>4360000</v>
      </c>
      <c r="E150" s="10"/>
      <c r="F150" s="10"/>
      <c r="G150" s="10"/>
      <c r="H150" s="10"/>
      <c r="I150" s="10"/>
    </row>
    <row r="151" spans="1:9" x14ac:dyDescent="0.35">
      <c r="A151" s="63">
        <f t="shared" si="20"/>
        <v>3</v>
      </c>
      <c r="B151" s="124" cm="1">
        <f t="array" ref="B151">Operating_Exp*(Increment+Inflation_Annual)^(A151-First_Yr)</f>
        <v>40599.999999999993</v>
      </c>
      <c r="C151" s="75" cm="1">
        <f t="array" ref="C151">ROUNDUP(B83/LNG_Tanker_Cap,0)</f>
        <v>110</v>
      </c>
      <c r="D151" s="217">
        <f t="shared" ref="D151:D179" si="21">B151*C151</f>
        <v>4465999.9999999991</v>
      </c>
      <c r="E151" s="10"/>
      <c r="F151" s="10"/>
      <c r="G151" s="10"/>
      <c r="H151" s="10"/>
      <c r="I151" s="10"/>
    </row>
    <row r="152" spans="1:9" x14ac:dyDescent="0.35">
      <c r="A152" s="63">
        <f t="shared" si="20"/>
        <v>4</v>
      </c>
      <c r="B152" s="124" cm="1">
        <f t="array" ref="B152">Operating_Exp*(Increment+Inflation_Annual)^(A152-First_Yr)</f>
        <v>41208.999999999985</v>
      </c>
      <c r="C152" s="75" cm="1">
        <f t="array" ref="C152">ROUNDUP(B84/LNG_Tanker_Cap,0)</f>
        <v>111</v>
      </c>
      <c r="D152" s="217">
        <f t="shared" si="21"/>
        <v>4574198.9999999981</v>
      </c>
      <c r="E152" s="10"/>
      <c r="F152" s="10"/>
      <c r="G152" s="10"/>
      <c r="H152" s="10"/>
      <c r="I152" s="10"/>
    </row>
    <row r="153" spans="1:9" x14ac:dyDescent="0.35">
      <c r="A153" s="63">
        <f t="shared" si="20"/>
        <v>5</v>
      </c>
      <c r="B153" s="124" cm="1">
        <f t="array" ref="B153">Operating_Exp*(Increment+Inflation_Annual)^(A153-First_Yr)</f>
        <v>41827.134999999987</v>
      </c>
      <c r="C153" s="75" cm="1">
        <f t="array" ref="C153">ROUNDUP(B85/LNG_Tanker_Cap,0)</f>
        <v>111</v>
      </c>
      <c r="D153" s="217">
        <f t="shared" si="21"/>
        <v>4642811.9849999985</v>
      </c>
      <c r="E153" s="10"/>
      <c r="F153" s="10"/>
      <c r="G153" s="10"/>
      <c r="H153" s="10"/>
      <c r="I153" s="10"/>
    </row>
    <row r="154" spans="1:9" x14ac:dyDescent="0.35">
      <c r="A154" s="63">
        <f t="shared" si="20"/>
        <v>6</v>
      </c>
      <c r="B154" s="124" cm="1">
        <f t="array" ref="B154">Operating_Exp*(Increment+Inflation_Annual)^(A154-First_Yr)</f>
        <v>42454.542024999981</v>
      </c>
      <c r="C154" s="75" cm="1">
        <f t="array" ref="C154">ROUNDUP(B86/LNG_Tanker_Cap,0)</f>
        <v>112</v>
      </c>
      <c r="D154" s="217">
        <f t="shared" si="21"/>
        <v>4754908.7067999979</v>
      </c>
      <c r="E154" s="10"/>
      <c r="F154" s="10"/>
      <c r="G154" s="10"/>
      <c r="H154" s="10"/>
      <c r="I154" s="10"/>
    </row>
    <row r="155" spans="1:9" x14ac:dyDescent="0.35">
      <c r="A155" s="63">
        <f t="shared" si="20"/>
        <v>7</v>
      </c>
      <c r="B155" s="124" cm="1">
        <f t="array" ref="B155">Operating_Exp*(Increment+Inflation_Annual)^(A155-First_Yr)</f>
        <v>43091.360155374969</v>
      </c>
      <c r="C155" s="75" cm="1">
        <f t="array" ref="C155">ROUNDUP(B87/LNG_Tanker_Cap,0)</f>
        <v>112</v>
      </c>
      <c r="D155" s="217">
        <f t="shared" si="21"/>
        <v>4826232.3374019964</v>
      </c>
      <c r="E155" s="10"/>
      <c r="F155" s="10"/>
      <c r="G155" s="10"/>
      <c r="H155" s="10"/>
      <c r="I155" s="10"/>
    </row>
    <row r="156" spans="1:9" x14ac:dyDescent="0.35">
      <c r="A156" s="63">
        <f t="shared" si="20"/>
        <v>8</v>
      </c>
      <c r="B156" s="124" cm="1">
        <f t="array" ref="B156">Operating_Exp*(Increment+Inflation_Annual)^(A156-First_Yr)</f>
        <v>43737.730557705589</v>
      </c>
      <c r="C156" s="75" cm="1">
        <f t="array" ref="C156">ROUNDUP(B88/LNG_Tanker_Cap,0)</f>
        <v>113</v>
      </c>
      <c r="D156" s="217">
        <f t="shared" si="21"/>
        <v>4942363.5530207315</v>
      </c>
      <c r="E156" s="10"/>
      <c r="F156" s="10"/>
      <c r="G156" s="10"/>
      <c r="H156" s="10"/>
      <c r="I156" s="10"/>
    </row>
    <row r="157" spans="1:9" x14ac:dyDescent="0.35">
      <c r="A157" s="63">
        <f t="shared" si="20"/>
        <v>9</v>
      </c>
      <c r="B157" s="124" cm="1">
        <f t="array" ref="B157">Operating_Exp*(Increment+Inflation_Annual)^(A157-First_Yr)</f>
        <v>44393.796516071161</v>
      </c>
      <c r="C157" s="75" cm="1">
        <f t="array" ref="C157">ROUNDUP(B89/LNG_Tanker_Cap,0)</f>
        <v>113</v>
      </c>
      <c r="D157" s="217">
        <f t="shared" si="21"/>
        <v>5016499.0063160416</v>
      </c>
      <c r="E157" s="10"/>
      <c r="F157" s="10"/>
      <c r="G157" s="10"/>
      <c r="H157" s="10"/>
      <c r="I157" s="10"/>
    </row>
    <row r="158" spans="1:9" x14ac:dyDescent="0.35">
      <c r="A158" s="63">
        <f t="shared" si="20"/>
        <v>10</v>
      </c>
      <c r="B158" s="124" cm="1">
        <f t="array" ref="B158">Operating_Exp*(Increment+Inflation_Annual)^(A158-First_Yr)</f>
        <v>45059.703463812228</v>
      </c>
      <c r="C158" s="75" cm="1">
        <f t="array" ref="C158">ROUNDUP(B90/LNG_Tanker_Cap,0)</f>
        <v>114</v>
      </c>
      <c r="D158" s="217">
        <f t="shared" si="21"/>
        <v>5136806.194874594</v>
      </c>
      <c r="E158" s="10"/>
      <c r="F158" s="10"/>
      <c r="G158" s="10"/>
      <c r="H158" s="10"/>
      <c r="I158" s="10"/>
    </row>
    <row r="159" spans="1:9" x14ac:dyDescent="0.35">
      <c r="A159" s="63">
        <f t="shared" si="20"/>
        <v>11</v>
      </c>
      <c r="B159" s="124" cm="1">
        <f t="array" ref="B159">Operating_Exp*(Increment+Inflation_Annual)^(A159-First_Yr)</f>
        <v>45735.599015769403</v>
      </c>
      <c r="C159" s="75" cm="1">
        <f t="array" ref="C159">ROUNDUP(B91/LNG_Tanker_Cap,0)</f>
        <v>114</v>
      </c>
      <c r="D159" s="217">
        <f t="shared" si="21"/>
        <v>5213858.2877977118</v>
      </c>
      <c r="E159" s="10"/>
      <c r="F159" s="10"/>
      <c r="G159" s="10"/>
      <c r="H159" s="10"/>
      <c r="I159" s="10"/>
    </row>
    <row r="160" spans="1:9" x14ac:dyDescent="0.35">
      <c r="A160" s="63">
        <f t="shared" si="20"/>
        <v>12</v>
      </c>
      <c r="B160" s="124" cm="1">
        <f t="array" ref="B160">Operating_Exp*(Increment+Inflation_Annual)^(A160-First_Yr)</f>
        <v>46421.633001005939</v>
      </c>
      <c r="C160" s="75" cm="1">
        <f t="array" ref="C160">ROUNDUP(B92/LNG_Tanker_Cap,0)</f>
        <v>115</v>
      </c>
      <c r="D160" s="217">
        <f t="shared" si="21"/>
        <v>5338487.7951156832</v>
      </c>
      <c r="E160" s="10"/>
      <c r="F160" s="10"/>
      <c r="G160" s="10"/>
      <c r="H160" s="10"/>
      <c r="I160" s="10"/>
    </row>
    <row r="161" spans="1:9" x14ac:dyDescent="0.35">
      <c r="A161" s="63">
        <f t="shared" si="20"/>
        <v>13</v>
      </c>
      <c r="B161" s="124" cm="1">
        <f t="array" ref="B161">Operating_Exp*(Increment+Inflation_Annual)^(A161-First_Yr)</f>
        <v>47117.957496021023</v>
      </c>
      <c r="C161" s="75" cm="1">
        <f t="array" ref="C161">ROUNDUP(B93/LNG_Tanker_Cap,0)</f>
        <v>116</v>
      </c>
      <c r="D161" s="217">
        <f t="shared" si="21"/>
        <v>5465683.0695384387</v>
      </c>
      <c r="E161" s="10"/>
      <c r="F161" s="10"/>
      <c r="G161" s="10"/>
      <c r="H161" s="10"/>
      <c r="I161" s="10"/>
    </row>
    <row r="162" spans="1:9" x14ac:dyDescent="0.35">
      <c r="A162" s="63">
        <f t="shared" si="20"/>
        <v>14</v>
      </c>
      <c r="B162" s="124" cm="1">
        <f t="array" ref="B162">Operating_Exp*(Increment+Inflation_Annual)^(A162-First_Yr)</f>
        <v>47824.726858461334</v>
      </c>
      <c r="C162" s="75" cm="1">
        <f t="array" ref="C162">ROUNDUP(B94/LNG_Tanker_Cap,0)</f>
        <v>116</v>
      </c>
      <c r="D162" s="217">
        <f t="shared" si="21"/>
        <v>5547668.3155815145</v>
      </c>
      <c r="E162" s="10"/>
      <c r="F162" s="10"/>
      <c r="G162" s="10"/>
      <c r="H162" s="10"/>
      <c r="I162" s="10"/>
    </row>
    <row r="163" spans="1:9" x14ac:dyDescent="0.35">
      <c r="A163" s="63">
        <f t="shared" si="20"/>
        <v>15</v>
      </c>
      <c r="B163" s="124" cm="1">
        <f t="array" ref="B163">Operating_Exp*(Increment+Inflation_Annual)^(A163-First_Yr)</f>
        <v>48542.097761338249</v>
      </c>
      <c r="C163" s="75" cm="1">
        <f t="array" ref="C163">ROUNDUP(B95/LNG_Tanker_Cap,0)</f>
        <v>117</v>
      </c>
      <c r="D163" s="217">
        <f t="shared" si="21"/>
        <v>5679425.4380765753</v>
      </c>
      <c r="E163" s="10"/>
      <c r="F163" s="10"/>
      <c r="G163" s="10"/>
      <c r="H163" s="10"/>
      <c r="I163" s="10"/>
    </row>
    <row r="164" spans="1:9" x14ac:dyDescent="0.35">
      <c r="A164" s="63">
        <f t="shared" si="20"/>
        <v>16</v>
      </c>
      <c r="B164" s="124" cm="1">
        <f t="array" ref="B164">Operating_Exp*(Increment+Inflation_Annual)^(A164-First_Yr)</f>
        <v>49270.229227758311</v>
      </c>
      <c r="C164" s="75" cm="1">
        <f t="array" ref="C164">ROUNDUP(B96/LNG_Tanker_Cap,0)</f>
        <v>117</v>
      </c>
      <c r="D164" s="217">
        <f t="shared" si="21"/>
        <v>5764616.8196477219</v>
      </c>
      <c r="E164" s="10"/>
      <c r="F164" s="10"/>
      <c r="G164" s="10"/>
      <c r="H164" s="10"/>
      <c r="I164" s="10"/>
    </row>
    <row r="165" spans="1:9" x14ac:dyDescent="0.35">
      <c r="A165" s="63">
        <f t="shared" si="20"/>
        <v>17</v>
      </c>
      <c r="B165" s="124" cm="1">
        <f t="array" ref="B165">Operating_Exp*(Increment+Inflation_Annual)^(A165-First_Yr)</f>
        <v>50009.28266617468</v>
      </c>
      <c r="C165" s="75" cm="1">
        <f t="array" ref="C165">ROUNDUP(B97/LNG_Tanker_Cap,0)</f>
        <v>118</v>
      </c>
      <c r="D165" s="217">
        <f t="shared" si="21"/>
        <v>5901095.3546086121</v>
      </c>
      <c r="E165" s="10"/>
      <c r="F165" s="10"/>
      <c r="G165" s="10"/>
      <c r="H165" s="10"/>
      <c r="I165" s="10"/>
    </row>
    <row r="166" spans="1:9" x14ac:dyDescent="0.35">
      <c r="A166" s="63">
        <f t="shared" si="20"/>
        <v>18</v>
      </c>
      <c r="B166" s="124" cm="1">
        <f t="array" ref="B166">Operating_Exp*(Increment+Inflation_Annual)^(A166-First_Yr)</f>
        <v>50759.421906167292</v>
      </c>
      <c r="C166" s="75" cm="1">
        <f t="array" ref="C166">ROUNDUP(B98/LNG_Tanker_Cap,0)</f>
        <v>119</v>
      </c>
      <c r="D166" s="217">
        <f t="shared" si="21"/>
        <v>6040371.2068339074</v>
      </c>
      <c r="E166" s="10"/>
      <c r="F166" s="10"/>
      <c r="G166" s="10"/>
      <c r="H166" s="10"/>
      <c r="I166" s="10"/>
    </row>
    <row r="167" spans="1:9" x14ac:dyDescent="0.35">
      <c r="A167" s="63">
        <f t="shared" si="20"/>
        <v>19</v>
      </c>
      <c r="B167" s="124" cm="1">
        <f t="array" ref="B167">Operating_Exp*(Increment+Inflation_Annual)^(A167-First_Yr)</f>
        <v>51520.813234759793</v>
      </c>
      <c r="C167" s="75" cm="1">
        <f t="array" ref="C167">ROUNDUP(B99/LNG_Tanker_Cap,0)</f>
        <v>119</v>
      </c>
      <c r="D167" s="217">
        <f t="shared" si="21"/>
        <v>6130976.7749364153</v>
      </c>
      <c r="E167" s="10"/>
      <c r="F167" s="10"/>
      <c r="G167" s="10"/>
      <c r="H167" s="10"/>
      <c r="I167" s="10"/>
    </row>
    <row r="168" spans="1:9" x14ac:dyDescent="0.35">
      <c r="A168" s="63">
        <f t="shared" si="20"/>
        <v>20</v>
      </c>
      <c r="B168" s="124" cm="1">
        <f t="array" ref="B168">Operating_Exp*(Increment+Inflation_Annual)^(A168-First_Yr)</f>
        <v>52293.625433281188</v>
      </c>
      <c r="C168" s="75" cm="1">
        <f t="array" ref="C168">ROUNDUP(B100/LNG_Tanker_Cap,0)</f>
        <v>120</v>
      </c>
      <c r="D168" s="217">
        <f t="shared" si="21"/>
        <v>6275235.0519937426</v>
      </c>
      <c r="E168" s="10"/>
      <c r="F168" s="10"/>
      <c r="G168" s="10"/>
      <c r="H168" s="10"/>
      <c r="I168" s="10"/>
    </row>
    <row r="169" spans="1:9" x14ac:dyDescent="0.35">
      <c r="A169" s="63">
        <f t="shared" si="20"/>
        <v>21</v>
      </c>
      <c r="B169" s="124" cm="1">
        <f t="array" ref="B169">Operating_Exp*(Increment+Inflation_Annual)^(A169-First_Yr)</f>
        <v>53078.029814780399</v>
      </c>
      <c r="C169" s="75" cm="1">
        <f t="array" ref="C169">ROUNDUP(B101/LNG_Tanker_Cap,0)</f>
        <v>120</v>
      </c>
      <c r="D169" s="217">
        <f t="shared" si="21"/>
        <v>6369363.5777736474</v>
      </c>
      <c r="E169" s="10"/>
      <c r="F169" s="10"/>
      <c r="G169" s="10"/>
      <c r="H169" s="10"/>
      <c r="I169" s="10"/>
    </row>
    <row r="170" spans="1:9" x14ac:dyDescent="0.35">
      <c r="A170" s="63">
        <f t="shared" si="20"/>
        <v>22</v>
      </c>
      <c r="B170" s="124" cm="1">
        <f t="array" ref="B170">Operating_Exp*(Increment+Inflation_Annual)^(A170-First_Yr)</f>
        <v>53874.200262002087</v>
      </c>
      <c r="C170" s="75" cm="1">
        <f t="array" ref="C170">ROUNDUP(B102/LNG_Tanker_Cap,0)</f>
        <v>121</v>
      </c>
      <c r="D170" s="217">
        <f t="shared" si="21"/>
        <v>6518778.2317022523</v>
      </c>
      <c r="E170" s="10"/>
      <c r="F170" s="10"/>
      <c r="G170" s="10"/>
      <c r="H170" s="10"/>
      <c r="I170" s="10"/>
    </row>
    <row r="171" spans="1:9" x14ac:dyDescent="0.35">
      <c r="A171" s="63">
        <f t="shared" si="20"/>
        <v>23</v>
      </c>
      <c r="B171" s="124" cm="1">
        <f t="array" ref="B171">Operating_Exp*(Increment+Inflation_Annual)^(A171-First_Yr)</f>
        <v>54682.313265932113</v>
      </c>
      <c r="C171" s="75" cm="1">
        <f t="array" ref="C171">ROUNDUP(B103/LNG_Tanker_Cap,0)</f>
        <v>121</v>
      </c>
      <c r="D171" s="217">
        <f t="shared" si="21"/>
        <v>6616559.905177786</v>
      </c>
      <c r="E171" s="10"/>
      <c r="F171" s="10"/>
      <c r="G171" s="10"/>
      <c r="H171" s="10"/>
      <c r="I171" s="10"/>
    </row>
    <row r="172" spans="1:9" x14ac:dyDescent="0.35">
      <c r="A172" s="63">
        <f t="shared" si="20"/>
        <v>24</v>
      </c>
      <c r="B172" s="124" cm="1">
        <f t="array" ref="B172">Operating_Exp*(Increment+Inflation_Annual)^(A172-First_Yr)</f>
        <v>55502.547964921083</v>
      </c>
      <c r="C172" s="75" cm="1">
        <f t="array" ref="C172">ROUNDUP(B104/LNG_Tanker_Cap,0)</f>
        <v>122</v>
      </c>
      <c r="D172" s="217">
        <f t="shared" si="21"/>
        <v>6771310.8517203722</v>
      </c>
      <c r="E172" s="10"/>
      <c r="F172" s="10"/>
      <c r="G172" s="10"/>
      <c r="H172" s="10"/>
      <c r="I172" s="10"/>
    </row>
    <row r="173" spans="1:9" x14ac:dyDescent="0.35">
      <c r="A173" s="63">
        <f t="shared" si="20"/>
        <v>25</v>
      </c>
      <c r="B173" s="124" cm="1">
        <f t="array" ref="B173">Operating_Exp*(Increment+Inflation_Annual)^(A173-First_Yr)</f>
        <v>56335.086184394895</v>
      </c>
      <c r="C173" s="75" cm="1">
        <f t="array" ref="C173">ROUNDUP(B105/LNG_Tanker_Cap,0)</f>
        <v>123</v>
      </c>
      <c r="D173" s="217">
        <f t="shared" si="21"/>
        <v>6929215.600680572</v>
      </c>
      <c r="E173" s="10"/>
      <c r="F173" s="10"/>
      <c r="G173" s="10"/>
      <c r="H173" s="10"/>
      <c r="I173" s="10"/>
    </row>
    <row r="174" spans="1:9" x14ac:dyDescent="0.35">
      <c r="A174" s="63">
        <f t="shared" si="20"/>
        <v>26</v>
      </c>
      <c r="B174" s="124" cm="1">
        <f t="array" ref="B174">Operating_Exp*(Increment+Inflation_Annual)^(A174-First_Yr)</f>
        <v>57180.112477160808</v>
      </c>
      <c r="C174" s="75" cm="1">
        <f t="array" ref="C174">ROUNDUP(B106/LNG_Tanker_Cap,0)</f>
        <v>123</v>
      </c>
      <c r="D174" s="217">
        <f t="shared" si="21"/>
        <v>7033153.8346907794</v>
      </c>
      <c r="E174" s="10"/>
      <c r="F174" s="10"/>
      <c r="G174" s="10"/>
      <c r="H174" s="10"/>
      <c r="I174" s="10"/>
    </row>
    <row r="175" spans="1:9" x14ac:dyDescent="0.35">
      <c r="A175" s="63">
        <f t="shared" si="20"/>
        <v>27</v>
      </c>
      <c r="B175" s="124" cm="1">
        <f t="array" ref="B175">Operating_Exp*(Increment+Inflation_Annual)^(A175-First_Yr)</f>
        <v>58037.814164318224</v>
      </c>
      <c r="C175" s="75" cm="1">
        <f t="array" ref="C175">ROUNDUP(B107/LNG_Tanker_Cap,0)</f>
        <v>124</v>
      </c>
      <c r="D175" s="217">
        <f t="shared" si="21"/>
        <v>7196688.9563754601</v>
      </c>
      <c r="E175" s="10"/>
      <c r="F175" s="10"/>
      <c r="G175" s="10"/>
      <c r="H175" s="10"/>
      <c r="I175" s="10"/>
    </row>
    <row r="176" spans="1:9" x14ac:dyDescent="0.35">
      <c r="A176" s="63">
        <f t="shared" si="20"/>
        <v>28</v>
      </c>
      <c r="B176" s="124" cm="1">
        <f t="array" ref="B176">Operating_Exp*(Increment+Inflation_Annual)^(A176-First_Yr)</f>
        <v>58908.381376782985</v>
      </c>
      <c r="C176" s="75" cm="1">
        <f t="array" ref="C176">ROUNDUP(B108/LNG_Tanker_Cap,0)</f>
        <v>125</v>
      </c>
      <c r="D176" s="217">
        <f t="shared" si="21"/>
        <v>7363547.6720978729</v>
      </c>
      <c r="E176" s="10"/>
      <c r="F176" s="10"/>
      <c r="G176" s="10"/>
      <c r="H176" s="10"/>
      <c r="I176" s="10"/>
    </row>
    <row r="177" spans="1:10" x14ac:dyDescent="0.35">
      <c r="A177" s="63">
        <f t="shared" si="20"/>
        <v>29</v>
      </c>
      <c r="B177" s="124" cm="1">
        <f t="array" ref="B177">Operating_Exp*(Increment+Inflation_Annual)^(A177-First_Yr)</f>
        <v>59792.007097434725</v>
      </c>
      <c r="C177" s="75" cm="1">
        <f t="array" ref="C177">ROUNDUP(B109/LNG_Tanker_Cap,0)</f>
        <v>125</v>
      </c>
      <c r="D177" s="217">
        <f t="shared" si="21"/>
        <v>7474000.8871793402</v>
      </c>
      <c r="E177" s="10"/>
      <c r="F177" s="10"/>
      <c r="G177" s="10"/>
      <c r="H177" s="10"/>
      <c r="I177" s="10"/>
    </row>
    <row r="178" spans="1:10" x14ac:dyDescent="0.35">
      <c r="A178" s="63">
        <f t="shared" si="20"/>
        <v>30</v>
      </c>
      <c r="B178" s="124" cm="1">
        <f t="array" ref="B178">Operating_Exp*(Increment+Inflation_Annual)^(A178-First_Yr)</f>
        <v>60688.887203896229</v>
      </c>
      <c r="C178" s="75" cm="1">
        <f t="array" ref="C178">ROUNDUP(B110/LNG_Tanker_Cap,0)</f>
        <v>126</v>
      </c>
      <c r="D178" s="217">
        <f t="shared" si="21"/>
        <v>7646799.7876909245</v>
      </c>
      <c r="E178" s="10"/>
      <c r="F178" s="10"/>
      <c r="G178" s="10"/>
      <c r="H178" s="10"/>
      <c r="I178" s="10"/>
    </row>
    <row r="179" spans="1:10" x14ac:dyDescent="0.35">
      <c r="A179" s="64">
        <f t="shared" si="20"/>
        <v>31</v>
      </c>
      <c r="B179" s="126" cm="1">
        <f t="array" ref="B179">Operating_Exp*(Increment+Inflation_Annual)^(A179-First_Yr)</f>
        <v>61599.220511954671</v>
      </c>
      <c r="C179" s="73" cm="1">
        <f t="array" ref="C179">ROUNDUP(B111/LNG_Tanker_Cap,0)</f>
        <v>126</v>
      </c>
      <c r="D179" s="218">
        <f t="shared" si="21"/>
        <v>7761501.7845062884</v>
      </c>
      <c r="E179" s="10"/>
      <c r="F179" s="10"/>
      <c r="G179" s="10"/>
      <c r="H179" s="10"/>
      <c r="I179" s="10"/>
    </row>
    <row r="180" spans="1:10" x14ac:dyDescent="0.35">
      <c r="B180" s="10"/>
      <c r="C180" s="10"/>
      <c r="D180" s="10"/>
      <c r="E180" s="10"/>
      <c r="F180" s="10"/>
      <c r="G180" s="10"/>
      <c r="H180" s="10"/>
      <c r="I180" s="10"/>
    </row>
    <row r="181" spans="1:10" x14ac:dyDescent="0.35">
      <c r="A181" s="9" t="s">
        <v>166</v>
      </c>
    </row>
    <row r="182" spans="1:10" x14ac:dyDescent="0.35">
      <c r="A182" s="140" t="s">
        <v>124</v>
      </c>
      <c r="B182" s="8"/>
      <c r="C182" s="138" cm="1">
        <f t="array" ref="C182">PMT(Discount_Rate,Total_Years,-B186,0,0)</f>
        <v>15372204.184712743</v>
      </c>
    </row>
    <row r="183" spans="1:10" x14ac:dyDescent="0.35">
      <c r="H183" s="9" t="s">
        <v>167</v>
      </c>
    </row>
    <row r="184" spans="1:10" x14ac:dyDescent="0.35">
      <c r="A184" s="53" t="s">
        <v>108</v>
      </c>
      <c r="B184" s="53" t="s">
        <v>126</v>
      </c>
      <c r="C184" s="53" t="s">
        <v>127</v>
      </c>
      <c r="D184" s="53" t="s">
        <v>128</v>
      </c>
      <c r="E184" s="53" t="s">
        <v>129</v>
      </c>
      <c r="F184" s="53" t="s">
        <v>130</v>
      </c>
      <c r="H184" s="53" t="s">
        <v>168</v>
      </c>
      <c r="I184" s="53" t="s">
        <v>132</v>
      </c>
      <c r="J184" s="53" t="s">
        <v>133</v>
      </c>
    </row>
    <row r="185" spans="1:10" x14ac:dyDescent="0.35">
      <c r="A185" s="63">
        <f>Increment</f>
        <v>1</v>
      </c>
      <c r="B185" s="222">
        <f>Building_Cost_Tanker+Min_Cash_Balance</f>
        <v>260000000</v>
      </c>
      <c r="C185" s="223">
        <f>J197</f>
        <v>5816666.6666666679</v>
      </c>
      <c r="D185" s="224"/>
      <c r="E185" s="224"/>
      <c r="F185" s="217">
        <f>B185+C185</f>
        <v>265816666.66666666</v>
      </c>
      <c r="H185" s="63" t="s">
        <v>49</v>
      </c>
      <c r="I185" s="223">
        <f>Building_Cost_Tanker/M_i_Y+Min_Cash_Balance</f>
        <v>30833333.333333332</v>
      </c>
      <c r="J185" s="217">
        <f t="shared" ref="J185:J196" si="22">I185*Discount_Rate/M_i_Y</f>
        <v>102777.77777777777</v>
      </c>
    </row>
    <row r="186" spans="1:10" x14ac:dyDescent="0.35">
      <c r="A186" s="63">
        <f t="shared" ref="A186:A215" si="23">A185+Increment</f>
        <v>2</v>
      </c>
      <c r="B186" s="222">
        <f>F185</f>
        <v>265816666.66666666</v>
      </c>
      <c r="C186" s="223">
        <f t="shared" ref="C186:C215" si="24">B186*Discount_Rate</f>
        <v>10632666.666666666</v>
      </c>
      <c r="D186" s="223">
        <f>$C$182</f>
        <v>15372204.184712743</v>
      </c>
      <c r="E186" s="223">
        <f>D186-C186</f>
        <v>4739537.5180460773</v>
      </c>
      <c r="F186" s="217">
        <f t="shared" ref="F186:F215" si="25">B186-E186</f>
        <v>261077129.14862058</v>
      </c>
      <c r="H186" s="63" t="s">
        <v>50</v>
      </c>
      <c r="I186" s="223">
        <f t="shared" ref="I186:I196" si="26">Building_Cost_Tanker/M_i_Y+I185</f>
        <v>51666666.666666664</v>
      </c>
      <c r="J186" s="217">
        <f t="shared" si="22"/>
        <v>172222.22222222222</v>
      </c>
    </row>
    <row r="187" spans="1:10" x14ac:dyDescent="0.35">
      <c r="A187" s="63">
        <f t="shared" si="23"/>
        <v>3</v>
      </c>
      <c r="B187" s="222">
        <f t="shared" ref="B187:B215" si="27">F186</f>
        <v>261077129.14862058</v>
      </c>
      <c r="C187" s="223">
        <f t="shared" si="24"/>
        <v>10443085.165944824</v>
      </c>
      <c r="D187" s="223">
        <f t="shared" ref="D187:D215" si="28">$C$182</f>
        <v>15372204.184712743</v>
      </c>
      <c r="E187" s="223">
        <f t="shared" ref="E187:E215" si="29">D187-C187</f>
        <v>4929119.0187679194</v>
      </c>
      <c r="F187" s="217">
        <f t="shared" si="25"/>
        <v>256148010.12985265</v>
      </c>
      <c r="H187" s="63" t="s">
        <v>52</v>
      </c>
      <c r="I187" s="223">
        <f t="shared" si="26"/>
        <v>72500000</v>
      </c>
      <c r="J187" s="217">
        <f t="shared" si="22"/>
        <v>241666.66666666666</v>
      </c>
    </row>
    <row r="188" spans="1:10" x14ac:dyDescent="0.35">
      <c r="A188" s="63">
        <f t="shared" si="23"/>
        <v>4</v>
      </c>
      <c r="B188" s="222">
        <f t="shared" si="27"/>
        <v>256148010.12985265</v>
      </c>
      <c r="C188" s="223">
        <f t="shared" si="24"/>
        <v>10245920.405194106</v>
      </c>
      <c r="D188" s="223">
        <f t="shared" si="28"/>
        <v>15372204.184712743</v>
      </c>
      <c r="E188" s="223">
        <f t="shared" si="29"/>
        <v>5126283.7795186378</v>
      </c>
      <c r="F188" s="217">
        <f t="shared" si="25"/>
        <v>251021726.35033402</v>
      </c>
      <c r="H188" s="63" t="s">
        <v>54</v>
      </c>
      <c r="I188" s="223">
        <f t="shared" si="26"/>
        <v>93333333.333333328</v>
      </c>
      <c r="J188" s="217">
        <f t="shared" si="22"/>
        <v>311111.11111111107</v>
      </c>
    </row>
    <row r="189" spans="1:10" x14ac:dyDescent="0.35">
      <c r="A189" s="63">
        <f t="shared" si="23"/>
        <v>5</v>
      </c>
      <c r="B189" s="222">
        <f t="shared" si="27"/>
        <v>251021726.35033402</v>
      </c>
      <c r="C189" s="223">
        <f t="shared" si="24"/>
        <v>10040869.05401336</v>
      </c>
      <c r="D189" s="223">
        <f t="shared" si="28"/>
        <v>15372204.184712743</v>
      </c>
      <c r="E189" s="223">
        <f t="shared" si="29"/>
        <v>5331335.1306993831</v>
      </c>
      <c r="F189" s="217">
        <f t="shared" si="25"/>
        <v>245690391.21963462</v>
      </c>
      <c r="H189" s="63" t="s">
        <v>55</v>
      </c>
      <c r="I189" s="223">
        <f t="shared" si="26"/>
        <v>114166666.66666666</v>
      </c>
      <c r="J189" s="217">
        <f t="shared" si="22"/>
        <v>380555.5555555555</v>
      </c>
    </row>
    <row r="190" spans="1:10" x14ac:dyDescent="0.35">
      <c r="A190" s="63">
        <f t="shared" si="23"/>
        <v>6</v>
      </c>
      <c r="B190" s="222">
        <f t="shared" si="27"/>
        <v>245690391.21963462</v>
      </c>
      <c r="C190" s="223">
        <f t="shared" si="24"/>
        <v>9827615.6487853844</v>
      </c>
      <c r="D190" s="223">
        <f t="shared" si="28"/>
        <v>15372204.184712743</v>
      </c>
      <c r="E190" s="223">
        <f t="shared" si="29"/>
        <v>5544588.535927359</v>
      </c>
      <c r="F190" s="217">
        <f t="shared" si="25"/>
        <v>240145802.68370727</v>
      </c>
      <c r="H190" s="63" t="s">
        <v>56</v>
      </c>
      <c r="I190" s="223">
        <f t="shared" si="26"/>
        <v>135000000</v>
      </c>
      <c r="J190" s="217">
        <f t="shared" si="22"/>
        <v>450000</v>
      </c>
    </row>
    <row r="191" spans="1:10" x14ac:dyDescent="0.35">
      <c r="A191" s="63">
        <f t="shared" si="23"/>
        <v>7</v>
      </c>
      <c r="B191" s="222">
        <f t="shared" si="27"/>
        <v>240145802.68370727</v>
      </c>
      <c r="C191" s="223">
        <f t="shared" si="24"/>
        <v>9605832.1073482912</v>
      </c>
      <c r="D191" s="223">
        <f t="shared" si="28"/>
        <v>15372204.184712743</v>
      </c>
      <c r="E191" s="223">
        <f t="shared" si="29"/>
        <v>5766372.0773644522</v>
      </c>
      <c r="F191" s="217">
        <f t="shared" si="25"/>
        <v>234379430.60634282</v>
      </c>
      <c r="H191" s="63" t="s">
        <v>57</v>
      </c>
      <c r="I191" s="223">
        <f t="shared" si="26"/>
        <v>155833333.33333334</v>
      </c>
      <c r="J191" s="217">
        <f t="shared" si="22"/>
        <v>519444.4444444445</v>
      </c>
    </row>
    <row r="192" spans="1:10" x14ac:dyDescent="0.35">
      <c r="A192" s="63">
        <f t="shared" si="23"/>
        <v>8</v>
      </c>
      <c r="B192" s="222">
        <f t="shared" si="27"/>
        <v>234379430.60634282</v>
      </c>
      <c r="C192" s="223">
        <f t="shared" si="24"/>
        <v>9375177.2242537122</v>
      </c>
      <c r="D192" s="223">
        <f t="shared" si="28"/>
        <v>15372204.184712743</v>
      </c>
      <c r="E192" s="223">
        <f t="shared" si="29"/>
        <v>5997026.9604590312</v>
      </c>
      <c r="F192" s="217">
        <f t="shared" si="25"/>
        <v>228382403.6458838</v>
      </c>
      <c r="H192" s="63" t="s">
        <v>58</v>
      </c>
      <c r="I192" s="223">
        <f t="shared" si="26"/>
        <v>176666666.66666669</v>
      </c>
      <c r="J192" s="217">
        <f t="shared" si="22"/>
        <v>588888.88888888899</v>
      </c>
    </row>
    <row r="193" spans="1:10" x14ac:dyDescent="0.35">
      <c r="A193" s="63">
        <f t="shared" si="23"/>
        <v>9</v>
      </c>
      <c r="B193" s="222">
        <f t="shared" si="27"/>
        <v>228382403.6458838</v>
      </c>
      <c r="C193" s="223">
        <f t="shared" si="24"/>
        <v>9135296.1458353531</v>
      </c>
      <c r="D193" s="223">
        <f t="shared" si="28"/>
        <v>15372204.184712743</v>
      </c>
      <c r="E193" s="223">
        <f t="shared" si="29"/>
        <v>6236908.0388773903</v>
      </c>
      <c r="F193" s="217">
        <f t="shared" si="25"/>
        <v>222145495.6070064</v>
      </c>
      <c r="H193" s="63" t="s">
        <v>59</v>
      </c>
      <c r="I193" s="223">
        <f t="shared" si="26"/>
        <v>197500000.00000003</v>
      </c>
      <c r="J193" s="217">
        <f t="shared" si="22"/>
        <v>658333.33333333337</v>
      </c>
    </row>
    <row r="194" spans="1:10" x14ac:dyDescent="0.35">
      <c r="A194" s="63">
        <f t="shared" si="23"/>
        <v>10</v>
      </c>
      <c r="B194" s="222">
        <f t="shared" si="27"/>
        <v>222145495.6070064</v>
      </c>
      <c r="C194" s="223">
        <f t="shared" si="24"/>
        <v>8885819.8242802564</v>
      </c>
      <c r="D194" s="223">
        <f t="shared" si="28"/>
        <v>15372204.184712743</v>
      </c>
      <c r="E194" s="223">
        <f t="shared" si="29"/>
        <v>6486384.360432487</v>
      </c>
      <c r="F194" s="217">
        <f t="shared" si="25"/>
        <v>215659111.24657393</v>
      </c>
      <c r="H194" s="63" t="s">
        <v>60</v>
      </c>
      <c r="I194" s="223">
        <f t="shared" si="26"/>
        <v>218333333.33333337</v>
      </c>
      <c r="J194" s="217">
        <f t="shared" si="22"/>
        <v>727777.77777777798</v>
      </c>
    </row>
    <row r="195" spans="1:10" x14ac:dyDescent="0.35">
      <c r="A195" s="63">
        <f t="shared" si="23"/>
        <v>11</v>
      </c>
      <c r="B195" s="222">
        <f t="shared" si="27"/>
        <v>215659111.24657393</v>
      </c>
      <c r="C195" s="223">
        <f t="shared" si="24"/>
        <v>8626364.449862957</v>
      </c>
      <c r="D195" s="223">
        <f t="shared" si="28"/>
        <v>15372204.184712743</v>
      </c>
      <c r="E195" s="223">
        <f t="shared" si="29"/>
        <v>6745839.7348497864</v>
      </c>
      <c r="F195" s="217">
        <f t="shared" si="25"/>
        <v>208913271.51172414</v>
      </c>
      <c r="H195" s="63" t="s">
        <v>61</v>
      </c>
      <c r="I195" s="223">
        <f t="shared" si="26"/>
        <v>239166666.66666672</v>
      </c>
      <c r="J195" s="217">
        <f t="shared" si="22"/>
        <v>797222.22222222248</v>
      </c>
    </row>
    <row r="196" spans="1:10" x14ac:dyDescent="0.35">
      <c r="A196" s="63">
        <f t="shared" si="23"/>
        <v>12</v>
      </c>
      <c r="B196" s="222">
        <f t="shared" si="27"/>
        <v>208913271.51172414</v>
      </c>
      <c r="C196" s="223">
        <f t="shared" si="24"/>
        <v>8356530.860468966</v>
      </c>
      <c r="D196" s="223">
        <f t="shared" si="28"/>
        <v>15372204.184712743</v>
      </c>
      <c r="E196" s="223">
        <f t="shared" si="29"/>
        <v>7015673.3242437774</v>
      </c>
      <c r="F196" s="217">
        <f t="shared" si="25"/>
        <v>201897598.18748036</v>
      </c>
      <c r="H196" s="63" t="s">
        <v>62</v>
      </c>
      <c r="I196" s="223">
        <f t="shared" si="26"/>
        <v>260000000.00000006</v>
      </c>
      <c r="J196" s="227">
        <f t="shared" si="22"/>
        <v>866666.66666666686</v>
      </c>
    </row>
    <row r="197" spans="1:10" x14ac:dyDescent="0.35">
      <c r="A197" s="63">
        <f t="shared" si="23"/>
        <v>13</v>
      </c>
      <c r="B197" s="222">
        <f t="shared" si="27"/>
        <v>201897598.18748036</v>
      </c>
      <c r="C197" s="223">
        <f t="shared" si="24"/>
        <v>8075903.9274992142</v>
      </c>
      <c r="D197" s="223">
        <f t="shared" si="28"/>
        <v>15372204.184712743</v>
      </c>
      <c r="E197" s="223">
        <f t="shared" si="29"/>
        <v>7296300.2572135292</v>
      </c>
      <c r="F197" s="217">
        <f t="shared" si="25"/>
        <v>194601297.93026683</v>
      </c>
      <c r="H197" s="136" t="s">
        <v>134</v>
      </c>
      <c r="I197" s="228"/>
      <c r="J197" s="229">
        <f>SUM(J185:J196)</f>
        <v>5816666.6666666679</v>
      </c>
    </row>
    <row r="198" spans="1:10" x14ac:dyDescent="0.35">
      <c r="A198" s="63">
        <f t="shared" si="23"/>
        <v>14</v>
      </c>
      <c r="B198" s="222">
        <f t="shared" si="27"/>
        <v>194601297.93026683</v>
      </c>
      <c r="C198" s="223">
        <f t="shared" si="24"/>
        <v>7784051.917210673</v>
      </c>
      <c r="D198" s="223">
        <f t="shared" si="28"/>
        <v>15372204.184712743</v>
      </c>
      <c r="E198" s="223">
        <f t="shared" si="29"/>
        <v>7588152.2675020704</v>
      </c>
      <c r="F198" s="217">
        <f t="shared" si="25"/>
        <v>187013145.66276476</v>
      </c>
      <c r="I198" s="223"/>
      <c r="J198" s="223"/>
    </row>
    <row r="199" spans="1:10" x14ac:dyDescent="0.35">
      <c r="A199" s="63">
        <f t="shared" si="23"/>
        <v>15</v>
      </c>
      <c r="B199" s="222">
        <f t="shared" si="27"/>
        <v>187013145.66276476</v>
      </c>
      <c r="C199" s="223">
        <f t="shared" si="24"/>
        <v>7480525.8265105905</v>
      </c>
      <c r="D199" s="223">
        <f t="shared" si="28"/>
        <v>15372204.184712743</v>
      </c>
      <c r="E199" s="223">
        <f t="shared" si="29"/>
        <v>7891678.3582021529</v>
      </c>
      <c r="F199" s="217">
        <f t="shared" si="25"/>
        <v>179121467.3045626</v>
      </c>
      <c r="H199" s="9" t="s">
        <v>169</v>
      </c>
      <c r="I199" s="223"/>
      <c r="J199" s="223"/>
    </row>
    <row r="200" spans="1:10" x14ac:dyDescent="0.35">
      <c r="A200" s="63">
        <f t="shared" si="23"/>
        <v>16</v>
      </c>
      <c r="B200" s="222">
        <f t="shared" si="27"/>
        <v>179121467.3045626</v>
      </c>
      <c r="C200" s="223">
        <f t="shared" si="24"/>
        <v>7164858.6921825036</v>
      </c>
      <c r="D200" s="223">
        <f t="shared" si="28"/>
        <v>15372204.184712743</v>
      </c>
      <c r="E200" s="223">
        <f t="shared" si="29"/>
        <v>8207345.4925302397</v>
      </c>
      <c r="F200" s="217">
        <f t="shared" si="25"/>
        <v>170914121.81203237</v>
      </c>
      <c r="H200" s="66" t="s">
        <v>170</v>
      </c>
      <c r="I200" s="230"/>
      <c r="J200" s="216">
        <f>Building_Cost_Tanker+Min_Cash_Balance</f>
        <v>260000000</v>
      </c>
    </row>
    <row r="201" spans="1:10" x14ac:dyDescent="0.35">
      <c r="A201" s="63">
        <f t="shared" si="23"/>
        <v>17</v>
      </c>
      <c r="B201" s="222">
        <f t="shared" si="27"/>
        <v>170914121.81203237</v>
      </c>
      <c r="C201" s="223">
        <f t="shared" si="24"/>
        <v>6836564.8724812949</v>
      </c>
      <c r="D201" s="223">
        <f t="shared" si="28"/>
        <v>15372204.184712743</v>
      </c>
      <c r="E201" s="223">
        <f t="shared" si="29"/>
        <v>8535639.3122314475</v>
      </c>
      <c r="F201" s="217">
        <f t="shared" si="25"/>
        <v>162378482.49980092</v>
      </c>
      <c r="H201" s="69" t="s">
        <v>171</v>
      </c>
      <c r="I201" s="226"/>
      <c r="J201" s="218">
        <f>J200/M_i_Y</f>
        <v>21666666.666666668</v>
      </c>
    </row>
    <row r="202" spans="1:10" x14ac:dyDescent="0.35">
      <c r="A202" s="63">
        <f t="shared" si="23"/>
        <v>18</v>
      </c>
      <c r="B202" s="222">
        <f t="shared" si="27"/>
        <v>162378482.49980092</v>
      </c>
      <c r="C202" s="223">
        <f t="shared" si="24"/>
        <v>6495139.299992037</v>
      </c>
      <c r="D202" s="223">
        <f t="shared" si="28"/>
        <v>15372204.184712743</v>
      </c>
      <c r="E202" s="223">
        <f t="shared" si="29"/>
        <v>8877064.8847207054</v>
      </c>
      <c r="F202" s="217">
        <f t="shared" si="25"/>
        <v>153501417.61508021</v>
      </c>
    </row>
    <row r="203" spans="1:10" x14ac:dyDescent="0.35">
      <c r="A203" s="63">
        <f t="shared" si="23"/>
        <v>19</v>
      </c>
      <c r="B203" s="222">
        <f t="shared" si="27"/>
        <v>153501417.61508021</v>
      </c>
      <c r="C203" s="223">
        <f t="shared" si="24"/>
        <v>6140056.7046032082</v>
      </c>
      <c r="D203" s="223">
        <f t="shared" si="28"/>
        <v>15372204.184712743</v>
      </c>
      <c r="E203" s="223">
        <f t="shared" si="29"/>
        <v>9232147.4801095352</v>
      </c>
      <c r="F203" s="217">
        <f t="shared" si="25"/>
        <v>144269270.13497066</v>
      </c>
    </row>
    <row r="204" spans="1:10" x14ac:dyDescent="0.35">
      <c r="A204" s="63">
        <f t="shared" si="23"/>
        <v>20</v>
      </c>
      <c r="B204" s="222">
        <f t="shared" si="27"/>
        <v>144269270.13497066</v>
      </c>
      <c r="C204" s="223">
        <f t="shared" si="24"/>
        <v>5770770.8053988265</v>
      </c>
      <c r="D204" s="223">
        <f t="shared" si="28"/>
        <v>15372204.184712743</v>
      </c>
      <c r="E204" s="223">
        <f t="shared" si="29"/>
        <v>9601433.379313916</v>
      </c>
      <c r="F204" s="217">
        <f t="shared" si="25"/>
        <v>134667836.75565675</v>
      </c>
    </row>
    <row r="205" spans="1:10" x14ac:dyDescent="0.35">
      <c r="A205" s="63">
        <f t="shared" si="23"/>
        <v>21</v>
      </c>
      <c r="B205" s="222">
        <f t="shared" si="27"/>
        <v>134667836.75565675</v>
      </c>
      <c r="C205" s="223">
        <f t="shared" si="24"/>
        <v>5386713.4702262701</v>
      </c>
      <c r="D205" s="223">
        <f t="shared" si="28"/>
        <v>15372204.184712743</v>
      </c>
      <c r="E205" s="223">
        <f t="shared" si="29"/>
        <v>9985490.7144864723</v>
      </c>
      <c r="F205" s="217">
        <f t="shared" si="25"/>
        <v>124682346.04117027</v>
      </c>
    </row>
    <row r="206" spans="1:10" x14ac:dyDescent="0.35">
      <c r="A206" s="63">
        <f t="shared" si="23"/>
        <v>22</v>
      </c>
      <c r="B206" s="222">
        <f t="shared" si="27"/>
        <v>124682346.04117027</v>
      </c>
      <c r="C206" s="223">
        <f t="shared" si="24"/>
        <v>4987293.841646811</v>
      </c>
      <c r="D206" s="223">
        <f t="shared" si="28"/>
        <v>15372204.184712743</v>
      </c>
      <c r="E206" s="223">
        <f t="shared" si="29"/>
        <v>10384910.343065932</v>
      </c>
      <c r="F206" s="217">
        <f t="shared" si="25"/>
        <v>114297435.69810434</v>
      </c>
    </row>
    <row r="207" spans="1:10" x14ac:dyDescent="0.35">
      <c r="A207" s="63">
        <f t="shared" si="23"/>
        <v>23</v>
      </c>
      <c r="B207" s="222">
        <f t="shared" si="27"/>
        <v>114297435.69810434</v>
      </c>
      <c r="C207" s="223">
        <f t="shared" si="24"/>
        <v>4571897.4279241739</v>
      </c>
      <c r="D207" s="223">
        <f t="shared" si="28"/>
        <v>15372204.184712743</v>
      </c>
      <c r="E207" s="223">
        <f t="shared" si="29"/>
        <v>10800306.75678857</v>
      </c>
      <c r="F207" s="217">
        <f t="shared" si="25"/>
        <v>103497128.94131577</v>
      </c>
    </row>
    <row r="208" spans="1:10" x14ac:dyDescent="0.35">
      <c r="A208" s="63">
        <f t="shared" si="23"/>
        <v>24</v>
      </c>
      <c r="B208" s="222">
        <f t="shared" si="27"/>
        <v>103497128.94131577</v>
      </c>
      <c r="C208" s="223">
        <f t="shared" si="24"/>
        <v>4139885.1576526309</v>
      </c>
      <c r="D208" s="223">
        <f t="shared" si="28"/>
        <v>15372204.184712743</v>
      </c>
      <c r="E208" s="223">
        <f t="shared" si="29"/>
        <v>11232319.027060112</v>
      </c>
      <c r="F208" s="217">
        <f t="shared" si="25"/>
        <v>92264809.914255664</v>
      </c>
    </row>
    <row r="209" spans="1:6" x14ac:dyDescent="0.35">
      <c r="A209" s="63">
        <f t="shared" si="23"/>
        <v>25</v>
      </c>
      <c r="B209" s="222">
        <f t="shared" si="27"/>
        <v>92264809.914255664</v>
      </c>
      <c r="C209" s="223">
        <f t="shared" si="24"/>
        <v>3690592.3965702266</v>
      </c>
      <c r="D209" s="223">
        <f t="shared" si="28"/>
        <v>15372204.184712743</v>
      </c>
      <c r="E209" s="223">
        <f t="shared" si="29"/>
        <v>11681611.788142517</v>
      </c>
      <c r="F209" s="217">
        <f t="shared" si="25"/>
        <v>80583198.126113147</v>
      </c>
    </row>
    <row r="210" spans="1:6" x14ac:dyDescent="0.35">
      <c r="A210" s="63">
        <f t="shared" si="23"/>
        <v>26</v>
      </c>
      <c r="B210" s="222">
        <f t="shared" si="27"/>
        <v>80583198.126113147</v>
      </c>
      <c r="C210" s="223">
        <f t="shared" si="24"/>
        <v>3223327.9250445259</v>
      </c>
      <c r="D210" s="223">
        <f t="shared" si="28"/>
        <v>15372204.184712743</v>
      </c>
      <c r="E210" s="223">
        <f t="shared" si="29"/>
        <v>12148876.259668218</v>
      </c>
      <c r="F210" s="217">
        <f t="shared" si="25"/>
        <v>68434321.86644493</v>
      </c>
    </row>
    <row r="211" spans="1:6" x14ac:dyDescent="0.35">
      <c r="A211" s="63">
        <f t="shared" si="23"/>
        <v>27</v>
      </c>
      <c r="B211" s="222">
        <f t="shared" si="27"/>
        <v>68434321.86644493</v>
      </c>
      <c r="C211" s="223">
        <f t="shared" si="24"/>
        <v>2737372.8746577972</v>
      </c>
      <c r="D211" s="223">
        <f t="shared" si="28"/>
        <v>15372204.184712743</v>
      </c>
      <c r="E211" s="223">
        <f t="shared" si="29"/>
        <v>12634831.310054947</v>
      </c>
      <c r="F211" s="217">
        <f t="shared" si="25"/>
        <v>55799490.556389987</v>
      </c>
    </row>
    <row r="212" spans="1:6" x14ac:dyDescent="0.35">
      <c r="A212" s="63">
        <f t="shared" si="23"/>
        <v>28</v>
      </c>
      <c r="B212" s="222">
        <f t="shared" si="27"/>
        <v>55799490.556389987</v>
      </c>
      <c r="C212" s="223">
        <f t="shared" si="24"/>
        <v>2231979.6222555996</v>
      </c>
      <c r="D212" s="223">
        <f t="shared" si="28"/>
        <v>15372204.184712743</v>
      </c>
      <c r="E212" s="223">
        <f t="shared" si="29"/>
        <v>13140224.562457144</v>
      </c>
      <c r="F212" s="217">
        <f t="shared" si="25"/>
        <v>42659265.993932843</v>
      </c>
    </row>
    <row r="213" spans="1:6" x14ac:dyDescent="0.35">
      <c r="A213" s="63">
        <f t="shared" si="23"/>
        <v>29</v>
      </c>
      <c r="B213" s="222">
        <f t="shared" si="27"/>
        <v>42659265.993932843</v>
      </c>
      <c r="C213" s="223">
        <f t="shared" si="24"/>
        <v>1706370.6397573138</v>
      </c>
      <c r="D213" s="223">
        <f t="shared" si="28"/>
        <v>15372204.184712743</v>
      </c>
      <c r="E213" s="223">
        <f t="shared" si="29"/>
        <v>13665833.544955429</v>
      </c>
      <c r="F213" s="217">
        <f t="shared" si="25"/>
        <v>28993432.448977415</v>
      </c>
    </row>
    <row r="214" spans="1:6" x14ac:dyDescent="0.35">
      <c r="A214" s="63">
        <f t="shared" si="23"/>
        <v>30</v>
      </c>
      <c r="B214" s="222">
        <f t="shared" si="27"/>
        <v>28993432.448977415</v>
      </c>
      <c r="C214" s="223">
        <f t="shared" si="24"/>
        <v>1159737.2979590965</v>
      </c>
      <c r="D214" s="223">
        <f t="shared" si="28"/>
        <v>15372204.184712743</v>
      </c>
      <c r="E214" s="223">
        <f t="shared" si="29"/>
        <v>14212466.886753647</v>
      </c>
      <c r="F214" s="217">
        <f t="shared" si="25"/>
        <v>14780965.562223768</v>
      </c>
    </row>
    <row r="215" spans="1:6" x14ac:dyDescent="0.35">
      <c r="A215" s="64">
        <f t="shared" si="23"/>
        <v>31</v>
      </c>
      <c r="B215" s="225">
        <f t="shared" si="27"/>
        <v>14780965.562223768</v>
      </c>
      <c r="C215" s="226">
        <f t="shared" si="24"/>
        <v>591238.62248895073</v>
      </c>
      <c r="D215" s="226">
        <f t="shared" si="28"/>
        <v>15372204.184712743</v>
      </c>
      <c r="E215" s="226">
        <f t="shared" si="29"/>
        <v>14780965.562223792</v>
      </c>
      <c r="F215" s="218">
        <f t="shared" si="25"/>
        <v>-2.4214386940002441E-8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0B2F5-1D3F-4106-ADFF-51663E5DF6EC}">
  <dimension ref="A1:AD33"/>
  <sheetViews>
    <sheetView workbookViewId="0">
      <pane xSplit="1" topLeftCell="B1" activePane="topRight" state="frozen"/>
      <selection pane="topRight"/>
    </sheetView>
  </sheetViews>
  <sheetFormatPr defaultColWidth="8.81640625" defaultRowHeight="14.5" x14ac:dyDescent="0.35"/>
  <cols>
    <col min="1" max="1" width="48" style="30" bestFit="1" customWidth="1"/>
    <col min="2" max="2" width="15.7265625" style="30" customWidth="1"/>
    <col min="3" max="4" width="15.7265625" style="30" bestFit="1" customWidth="1"/>
    <col min="5" max="9" width="15.7265625" style="30" customWidth="1"/>
    <col min="10" max="11" width="15.7265625" style="30" bestFit="1" customWidth="1"/>
    <col min="12" max="13" width="17.453125" style="30" bestFit="1" customWidth="1"/>
    <col min="14" max="14" width="17.453125" style="30" customWidth="1"/>
    <col min="15" max="17" width="17.26953125" style="30" bestFit="1" customWidth="1"/>
    <col min="18" max="20" width="18.26953125" style="30" bestFit="1" customWidth="1"/>
    <col min="21" max="24" width="19.81640625" style="30" bestFit="1" customWidth="1"/>
    <col min="25" max="27" width="20.81640625" style="30" bestFit="1" customWidth="1"/>
    <col min="28" max="28" width="21.453125" style="30" customWidth="1"/>
    <col min="29" max="30" width="14.453125" style="30" bestFit="1" customWidth="1"/>
    <col min="31" max="16384" width="8.81640625" style="30"/>
  </cols>
  <sheetData>
    <row r="1" spans="1:30" x14ac:dyDescent="0.35">
      <c r="A1" s="80" t="s">
        <v>19</v>
      </c>
    </row>
    <row r="2" spans="1:30" x14ac:dyDescent="0.35">
      <c r="A2" s="80" t="s">
        <v>172</v>
      </c>
    </row>
    <row r="3" spans="1:30" x14ac:dyDescent="0.35">
      <c r="A3" s="80" t="s">
        <v>173</v>
      </c>
    </row>
    <row r="5" spans="1:30" ht="18.5" x14ac:dyDescent="0.45">
      <c r="A5" s="85"/>
      <c r="B5" s="244" t="s">
        <v>174</v>
      </c>
      <c r="C5" s="244"/>
      <c r="D5" s="244"/>
      <c r="E5" s="244"/>
      <c r="F5" s="244"/>
      <c r="G5" s="244"/>
      <c r="H5" s="244"/>
      <c r="I5" s="244"/>
      <c r="J5" s="244"/>
      <c r="K5" s="244"/>
      <c r="L5" s="244"/>
      <c r="M5" s="245"/>
      <c r="N5" s="243" t="s">
        <v>175</v>
      </c>
      <c r="O5" s="243" t="s">
        <v>176</v>
      </c>
      <c r="P5" s="243"/>
      <c r="Q5" s="243"/>
      <c r="R5" s="243"/>
      <c r="S5" s="243"/>
      <c r="T5" s="243"/>
      <c r="U5" s="243"/>
      <c r="V5" s="243"/>
      <c r="W5" s="243"/>
      <c r="X5" s="243"/>
      <c r="Y5" s="243"/>
      <c r="Z5" s="243"/>
      <c r="AA5" s="247" t="s">
        <v>177</v>
      </c>
      <c r="AB5" s="195" t="s">
        <v>178</v>
      </c>
      <c r="AC5" s="196" t="s">
        <v>179</v>
      </c>
      <c r="AD5" s="194" t="s">
        <v>180</v>
      </c>
    </row>
    <row r="6" spans="1:30" x14ac:dyDescent="0.35">
      <c r="A6" s="86"/>
      <c r="B6" s="231" t="s">
        <v>49</v>
      </c>
      <c r="C6" s="232" t="s">
        <v>50</v>
      </c>
      <c r="D6" s="232" t="s">
        <v>52</v>
      </c>
      <c r="E6" s="232" t="s">
        <v>54</v>
      </c>
      <c r="F6" s="232" t="s">
        <v>55</v>
      </c>
      <c r="G6" s="232" t="s">
        <v>56</v>
      </c>
      <c r="H6" s="232" t="s">
        <v>57</v>
      </c>
      <c r="I6" s="232" t="s">
        <v>58</v>
      </c>
      <c r="J6" s="232" t="s">
        <v>59</v>
      </c>
      <c r="K6" s="232" t="s">
        <v>60</v>
      </c>
      <c r="L6" s="232" t="s">
        <v>61</v>
      </c>
      <c r="M6" s="233" t="s">
        <v>62</v>
      </c>
      <c r="N6" s="246"/>
      <c r="O6" s="231" t="s">
        <v>49</v>
      </c>
      <c r="P6" s="232" t="s">
        <v>50</v>
      </c>
      <c r="Q6" s="232" t="s">
        <v>52</v>
      </c>
      <c r="R6" s="232" t="s">
        <v>54</v>
      </c>
      <c r="S6" s="232" t="s">
        <v>55</v>
      </c>
      <c r="T6" s="232" t="s">
        <v>56</v>
      </c>
      <c r="U6" s="232" t="s">
        <v>57</v>
      </c>
      <c r="V6" s="232" t="s">
        <v>58</v>
      </c>
      <c r="W6" s="232" t="s">
        <v>59</v>
      </c>
      <c r="X6" s="232" t="s">
        <v>60</v>
      </c>
      <c r="Y6" s="232" t="s">
        <v>61</v>
      </c>
      <c r="Z6" s="233" t="s">
        <v>62</v>
      </c>
      <c r="AA6" s="248"/>
      <c r="AB6" s="88"/>
      <c r="AC6" s="88"/>
      <c r="AD6" s="100"/>
    </row>
    <row r="7" spans="1:30" x14ac:dyDescent="0.35">
      <c r="A7" s="101" t="s">
        <v>181</v>
      </c>
      <c r="B7" s="102" cm="1">
        <f t="array" ref="B7">Nil</f>
        <v>0</v>
      </c>
      <c r="C7" s="102">
        <f>B33</f>
        <v>833333.33333333582</v>
      </c>
      <c r="D7" s="102">
        <f>C33</f>
        <v>1666666.6666666716</v>
      </c>
      <c r="E7" s="102">
        <f t="shared" ref="E7:M7" si="0">D33</f>
        <v>2500000.0000000075</v>
      </c>
      <c r="F7" s="102">
        <f t="shared" si="0"/>
        <v>3333333.3333333433</v>
      </c>
      <c r="G7" s="102">
        <f t="shared" si="0"/>
        <v>4166666.6666666791</v>
      </c>
      <c r="H7" s="102">
        <f t="shared" si="0"/>
        <v>5000000.0000000149</v>
      </c>
      <c r="I7" s="102">
        <f t="shared" si="0"/>
        <v>5833333.3333333507</v>
      </c>
      <c r="J7" s="102">
        <f t="shared" si="0"/>
        <v>6666666.6666666865</v>
      </c>
      <c r="K7" s="102">
        <f t="shared" si="0"/>
        <v>7500000.0000000224</v>
      </c>
      <c r="L7" s="102">
        <f t="shared" si="0"/>
        <v>8333333.3333333582</v>
      </c>
      <c r="M7" s="102">
        <f t="shared" si="0"/>
        <v>9166666.666666694</v>
      </c>
      <c r="N7" s="103">
        <f>B7</f>
        <v>0</v>
      </c>
      <c r="O7" s="102">
        <f>M33</f>
        <v>10000000.00000003</v>
      </c>
      <c r="P7" s="102">
        <f>O33</f>
        <v>70031910.821715519</v>
      </c>
      <c r="Q7" s="102">
        <f>P33</f>
        <v>72666805.250189185</v>
      </c>
      <c r="R7" s="102">
        <f t="shared" ref="R7:Z7" si="1">Q33</f>
        <v>85966655.188587546</v>
      </c>
      <c r="S7" s="102">
        <f t="shared" si="1"/>
        <v>92402151.944234371</v>
      </c>
      <c r="T7" s="102">
        <f t="shared" si="1"/>
        <v>102715814.33985382</v>
      </c>
      <c r="U7" s="102">
        <f t="shared" si="1"/>
        <v>109151311.09550065</v>
      </c>
      <c r="V7" s="102">
        <f t="shared" si="1"/>
        <v>119464973.4911201</v>
      </c>
      <c r="W7" s="102">
        <f t="shared" si="1"/>
        <v>128072243.0051516</v>
      </c>
      <c r="X7" s="102">
        <f t="shared" si="1"/>
        <v>134507739.76079842</v>
      </c>
      <c r="Y7" s="102">
        <f t="shared" si="1"/>
        <v>144821402.15641788</v>
      </c>
      <c r="Z7" s="102">
        <f t="shared" si="1"/>
        <v>151256898.9120647</v>
      </c>
      <c r="AA7" s="101">
        <f>O7</f>
        <v>10000000.00000003</v>
      </c>
      <c r="AB7" s="103">
        <f>Z33</f>
        <v>146198357.12297142</v>
      </c>
      <c r="AC7" s="103">
        <f>AB33</f>
        <v>231023322.6378876</v>
      </c>
      <c r="AD7" s="103">
        <f>AC33</f>
        <v>317644079.19894087</v>
      </c>
    </row>
    <row r="8" spans="1:30" x14ac:dyDescent="0.35">
      <c r="A8" s="30" t="s">
        <v>182</v>
      </c>
      <c r="B8" s="30">
        <f>'Tanker Schedule'!$J$201</f>
        <v>21666666.666666668</v>
      </c>
      <c r="C8" s="30">
        <f>'Tanker Schedule'!$J$201</f>
        <v>21666666.666666668</v>
      </c>
      <c r="D8" s="30">
        <f>'Tanker Schedule'!$J$201</f>
        <v>21666666.666666668</v>
      </c>
      <c r="E8" s="30">
        <f>'Tanker Schedule'!$J$201</f>
        <v>21666666.666666668</v>
      </c>
      <c r="F8" s="30">
        <f>'Tanker Schedule'!$J$201</f>
        <v>21666666.666666668</v>
      </c>
      <c r="G8" s="30">
        <f>'Tanker Schedule'!$J$201</f>
        <v>21666666.666666668</v>
      </c>
      <c r="H8" s="30">
        <f>'Tanker Schedule'!$J$201</f>
        <v>21666666.666666668</v>
      </c>
      <c r="I8" s="30">
        <f>'Tanker Schedule'!$J$201</f>
        <v>21666666.666666668</v>
      </c>
      <c r="J8" s="30">
        <f>'Tanker Schedule'!$J$201</f>
        <v>21666666.666666668</v>
      </c>
      <c r="K8" s="30">
        <f>'Tanker Schedule'!$J$201</f>
        <v>21666666.666666668</v>
      </c>
      <c r="L8" s="30">
        <f>'Tanker Schedule'!$J$201</f>
        <v>21666666.666666668</v>
      </c>
      <c r="M8" s="30">
        <f>'Tanker Schedule'!$J$201</f>
        <v>21666666.666666668</v>
      </c>
      <c r="N8" s="100">
        <f t="shared" ref="N8:N27" si="2">SUM(B8:M8)</f>
        <v>259999999.99999997</v>
      </c>
      <c r="O8" s="30" cm="1">
        <f t="array" ref="O8">Nil</f>
        <v>0</v>
      </c>
      <c r="P8" s="30" cm="1">
        <f t="array" ref="P8">Nil</f>
        <v>0</v>
      </c>
      <c r="Q8" s="30" cm="1">
        <f t="array" ref="Q8">Nil</f>
        <v>0</v>
      </c>
      <c r="R8" s="30" cm="1">
        <f t="array" ref="R8">Nil</f>
        <v>0</v>
      </c>
      <c r="S8" s="30" cm="1">
        <f t="array" ref="S8">Nil</f>
        <v>0</v>
      </c>
      <c r="T8" s="30" cm="1">
        <f t="array" ref="T8">Nil</f>
        <v>0</v>
      </c>
      <c r="U8" s="30" cm="1">
        <f t="array" ref="U8">Nil</f>
        <v>0</v>
      </c>
      <c r="V8" s="30" cm="1">
        <f t="array" ref="V8">Nil</f>
        <v>0</v>
      </c>
      <c r="W8" s="30" cm="1">
        <f t="array" ref="W8">Nil</f>
        <v>0</v>
      </c>
      <c r="X8" s="30" cm="1">
        <f t="array" ref="X8">Nil</f>
        <v>0</v>
      </c>
      <c r="Y8" s="30" cm="1">
        <f t="array" ref="Y8">Nil</f>
        <v>0</v>
      </c>
      <c r="Z8" s="30" cm="1">
        <f t="array" ref="Z8">Nil</f>
        <v>0</v>
      </c>
      <c r="AA8" s="100">
        <f t="shared" ref="AA8:AA29" si="3">SUM(O8:Z8)</f>
        <v>0</v>
      </c>
      <c r="AB8" s="30" cm="1">
        <f t="array" ref="AB8">Nil</f>
        <v>0</v>
      </c>
      <c r="AC8" s="30" cm="1">
        <f t="array" ref="AC8">Nil</f>
        <v>0</v>
      </c>
      <c r="AD8" s="85" cm="1">
        <f t="array" ref="AD8">Nil</f>
        <v>0</v>
      </c>
    </row>
    <row r="9" spans="1:30" x14ac:dyDescent="0.35">
      <c r="A9" s="30" t="s">
        <v>183</v>
      </c>
      <c r="B9" s="30" cm="1">
        <f t="array" ref="B9">Nil</f>
        <v>0</v>
      </c>
      <c r="C9" s="30" cm="1">
        <f t="array" ref="C9">Nil</f>
        <v>0</v>
      </c>
      <c r="D9" s="30" cm="1">
        <f t="array" ref="D9">Nil</f>
        <v>0</v>
      </c>
      <c r="E9" s="30" cm="1">
        <f t="array" ref="E9">Nil</f>
        <v>0</v>
      </c>
      <c r="F9" s="30" cm="1">
        <f t="array" ref="F9">Nil</f>
        <v>0</v>
      </c>
      <c r="G9" s="30" cm="1">
        <f t="array" ref="G9">Nil</f>
        <v>0</v>
      </c>
      <c r="H9" s="30" cm="1">
        <f t="array" ref="H9">Nil</f>
        <v>0</v>
      </c>
      <c r="I9" s="30" cm="1">
        <f t="array" ref="I9">Nil</f>
        <v>0</v>
      </c>
      <c r="J9" s="30" cm="1">
        <f t="array" ref="J9">Nil</f>
        <v>0</v>
      </c>
      <c r="K9" s="30" cm="1">
        <f t="array" ref="K9">Nil</f>
        <v>0</v>
      </c>
      <c r="L9" s="30" cm="1">
        <f t="array" ref="L9">Nil</f>
        <v>0</v>
      </c>
      <c r="M9" s="30" cm="1">
        <f t="array" ref="M9">Nil</f>
        <v>0</v>
      </c>
      <c r="N9" s="100">
        <f t="shared" si="2"/>
        <v>0</v>
      </c>
      <c r="O9" s="30" cm="1">
        <f t="array" ref="O9">'Tanker Schedule'!D82/D_i_Y*(Days_Jan-Increment)</f>
        <v>65153182.75154005</v>
      </c>
      <c r="P9" s="30" cm="1">
        <f t="array" ref="P9">'Tanker Schedule'!D82/D_i_Y*Days_Feb</f>
        <v>61352580.424366876</v>
      </c>
      <c r="Q9" s="30" cm="1">
        <f t="array" ref="Q9">'Tanker Schedule'!D82/D_i_Y*Days_Mar</f>
        <v>67324955.50992471</v>
      </c>
      <c r="R9" s="30" cm="1">
        <f t="array" ref="R9">'Tanker Schedule'!D82/D_i_Y*Days_Apr</f>
        <v>65153182.75154005</v>
      </c>
      <c r="S9" s="30" cm="1">
        <f t="array" ref="S9">'Tanker Schedule'!D82/D_i_Y*Days_May</f>
        <v>67324955.50992471</v>
      </c>
      <c r="T9" s="30" cm="1">
        <f t="array" ref="T9">'Tanker Schedule'!D82/D_i_Y*Days_Jun</f>
        <v>65153182.75154005</v>
      </c>
      <c r="U9" s="30" cm="1">
        <f t="array" ref="U9">'Tanker Schedule'!D82/D_i_Y*Days_Jul</f>
        <v>67324955.50992471</v>
      </c>
      <c r="V9" s="30" cm="1">
        <f t="array" ref="V9">'Tanker Schedule'!D82/D_i_Y*Days_Aug</f>
        <v>67324955.50992471</v>
      </c>
      <c r="W9" s="30" cm="1">
        <f t="array" ref="W9">'Tanker Schedule'!D82/D_i_Y*Days_Sept</f>
        <v>65153182.75154005</v>
      </c>
      <c r="X9" s="30" cm="1">
        <f t="array" ref="X9">'Tanker Schedule'!D82/D_i_Y*Days_Oct</f>
        <v>67324955.50992471</v>
      </c>
      <c r="Y9" s="30" cm="1">
        <f t="array" ref="Y9">'Tanker Schedule'!D82/D_i_Y*Days_Nov</f>
        <v>65153182.75154005</v>
      </c>
      <c r="Z9" s="30" cm="1">
        <f t="array" ref="Z9">'Tanker Schedule'!D82/D_i_Y*Days_Dec</f>
        <v>67324955.50992471</v>
      </c>
      <c r="AA9" s="100">
        <f t="shared" si="3"/>
        <v>791068227.24161553</v>
      </c>
      <c r="AB9" s="30">
        <f>('Tanker Schedule'!D82/D_i_Y)+('Tanker Schedule'!D83)-('Tanker Schedule'!D83/D_i_Y)</f>
        <v>809120694.66187537</v>
      </c>
      <c r="AC9" s="30">
        <f>('Tanker Schedule'!D83/D_i_Y)+('Tanker Schedule'!D84)-('Tanker Schedule'!D84/D_i_Y)</f>
        <v>825363792.60721207</v>
      </c>
      <c r="AD9" s="85">
        <f>('Tanker Schedule'!D84/D_i_Y)+('Tanker Schedule'!D85)-('Tanker Schedule'!D85/D_i_Y)</f>
        <v>841932970.74380183</v>
      </c>
    </row>
    <row r="10" spans="1:30" x14ac:dyDescent="0.35">
      <c r="A10" s="101" t="s">
        <v>184</v>
      </c>
      <c r="B10" s="102">
        <f t="shared" ref="B10:M10" si="4">SUM(B8:B9)</f>
        <v>21666666.666666668</v>
      </c>
      <c r="C10" s="102">
        <f t="shared" si="4"/>
        <v>21666666.666666668</v>
      </c>
      <c r="D10" s="102">
        <f t="shared" si="4"/>
        <v>21666666.666666668</v>
      </c>
      <c r="E10" s="102">
        <f t="shared" si="4"/>
        <v>21666666.666666668</v>
      </c>
      <c r="F10" s="102">
        <f t="shared" si="4"/>
        <v>21666666.666666668</v>
      </c>
      <c r="G10" s="102">
        <f t="shared" si="4"/>
        <v>21666666.666666668</v>
      </c>
      <c r="H10" s="102">
        <f t="shared" si="4"/>
        <v>21666666.666666668</v>
      </c>
      <c r="I10" s="102">
        <f t="shared" si="4"/>
        <v>21666666.666666668</v>
      </c>
      <c r="J10" s="102">
        <f t="shared" si="4"/>
        <v>21666666.666666668</v>
      </c>
      <c r="K10" s="102">
        <f t="shared" si="4"/>
        <v>21666666.666666668</v>
      </c>
      <c r="L10" s="102">
        <f t="shared" si="4"/>
        <v>21666666.666666668</v>
      </c>
      <c r="M10" s="102">
        <f t="shared" si="4"/>
        <v>21666666.666666668</v>
      </c>
      <c r="N10" s="103">
        <f>SUM(B10:M10)</f>
        <v>259999999.99999997</v>
      </c>
      <c r="O10" s="102">
        <f t="shared" ref="O10:AD10" si="5">SUM(O8:O9)</f>
        <v>65153182.75154005</v>
      </c>
      <c r="P10" s="102">
        <f t="shared" si="5"/>
        <v>61352580.424366876</v>
      </c>
      <c r="Q10" s="102">
        <f t="shared" si="5"/>
        <v>67324955.50992471</v>
      </c>
      <c r="R10" s="102">
        <f t="shared" si="5"/>
        <v>65153182.75154005</v>
      </c>
      <c r="S10" s="102">
        <f t="shared" si="5"/>
        <v>67324955.50992471</v>
      </c>
      <c r="T10" s="102">
        <f t="shared" si="5"/>
        <v>65153182.75154005</v>
      </c>
      <c r="U10" s="102">
        <f t="shared" si="5"/>
        <v>67324955.50992471</v>
      </c>
      <c r="V10" s="102">
        <f t="shared" si="5"/>
        <v>67324955.50992471</v>
      </c>
      <c r="W10" s="102">
        <f t="shared" si="5"/>
        <v>65153182.75154005</v>
      </c>
      <c r="X10" s="102">
        <f t="shared" si="5"/>
        <v>67324955.50992471</v>
      </c>
      <c r="Y10" s="102">
        <f t="shared" si="5"/>
        <v>65153182.75154005</v>
      </c>
      <c r="Z10" s="102">
        <f t="shared" si="5"/>
        <v>67324955.50992471</v>
      </c>
      <c r="AA10" s="103">
        <f t="shared" si="5"/>
        <v>791068227.24161553</v>
      </c>
      <c r="AB10" s="153">
        <f t="shared" si="5"/>
        <v>809120694.66187537</v>
      </c>
      <c r="AC10" s="153">
        <f t="shared" si="5"/>
        <v>825363792.60721207</v>
      </c>
      <c r="AD10" s="154">
        <f t="shared" si="5"/>
        <v>841932970.74380183</v>
      </c>
    </row>
    <row r="11" spans="1:30" x14ac:dyDescent="0.35">
      <c r="N11" s="100"/>
      <c r="AA11" s="88"/>
      <c r="AB11" s="151"/>
      <c r="AC11" s="83"/>
      <c r="AD11" s="87"/>
    </row>
    <row r="12" spans="1:30" x14ac:dyDescent="0.35">
      <c r="A12" s="105" t="s">
        <v>185</v>
      </c>
      <c r="N12" s="100"/>
      <c r="AA12" s="88"/>
      <c r="AB12" s="88"/>
      <c r="AD12" s="85"/>
    </row>
    <row r="13" spans="1:30" x14ac:dyDescent="0.35">
      <c r="A13" s="30" t="s">
        <v>186</v>
      </c>
      <c r="B13" s="30">
        <f t="shared" ref="B13:M13" si="6">Building_Cost_Tanker/M_i_Y</f>
        <v>20833333.333333332</v>
      </c>
      <c r="C13" s="30">
        <f t="shared" si="6"/>
        <v>20833333.333333332</v>
      </c>
      <c r="D13" s="30">
        <f t="shared" si="6"/>
        <v>20833333.333333332</v>
      </c>
      <c r="E13" s="30">
        <f t="shared" si="6"/>
        <v>20833333.333333332</v>
      </c>
      <c r="F13" s="30">
        <f t="shared" si="6"/>
        <v>20833333.333333332</v>
      </c>
      <c r="G13" s="30">
        <f t="shared" si="6"/>
        <v>20833333.333333332</v>
      </c>
      <c r="H13" s="30">
        <f t="shared" si="6"/>
        <v>20833333.333333332</v>
      </c>
      <c r="I13" s="30">
        <f t="shared" si="6"/>
        <v>20833333.333333332</v>
      </c>
      <c r="J13" s="30">
        <f t="shared" si="6"/>
        <v>20833333.333333332</v>
      </c>
      <c r="K13" s="30">
        <f t="shared" si="6"/>
        <v>20833333.333333332</v>
      </c>
      <c r="L13" s="30">
        <f t="shared" si="6"/>
        <v>20833333.333333332</v>
      </c>
      <c r="M13" s="30">
        <f t="shared" si="6"/>
        <v>20833333.333333332</v>
      </c>
      <c r="N13" s="100">
        <f t="shared" si="2"/>
        <v>250000000.00000003</v>
      </c>
      <c r="O13" s="30" cm="1">
        <f t="array" ref="O13">Nil</f>
        <v>0</v>
      </c>
      <c r="P13" s="30" cm="1">
        <f t="array" ref="P13">Nil</f>
        <v>0</v>
      </c>
      <c r="Q13" s="30" cm="1">
        <f t="array" ref="Q13">Nil</f>
        <v>0</v>
      </c>
      <c r="R13" s="30" cm="1">
        <f t="array" ref="R13">Nil</f>
        <v>0</v>
      </c>
      <c r="S13" s="30" cm="1">
        <f t="array" ref="S13">Nil</f>
        <v>0</v>
      </c>
      <c r="T13" s="30" cm="1">
        <f t="array" ref="T13">Nil</f>
        <v>0</v>
      </c>
      <c r="U13" s="30" cm="1">
        <f t="array" ref="U13">Nil</f>
        <v>0</v>
      </c>
      <c r="V13" s="30" cm="1">
        <f t="array" ref="V13">Nil</f>
        <v>0</v>
      </c>
      <c r="W13" s="30" cm="1">
        <f t="array" ref="W13">Nil</f>
        <v>0</v>
      </c>
      <c r="X13" s="30" cm="1">
        <f t="array" ref="X13">Nil</f>
        <v>0</v>
      </c>
      <c r="Y13" s="30" cm="1">
        <f t="array" ref="Y13">Nil</f>
        <v>0</v>
      </c>
      <c r="Z13" s="30" cm="1">
        <f t="array" ref="Z13">Nil</f>
        <v>0</v>
      </c>
      <c r="AA13" s="88">
        <f t="shared" si="3"/>
        <v>0</v>
      </c>
      <c r="AB13" s="88" cm="1">
        <f t="array" ref="AB13">Nil</f>
        <v>0</v>
      </c>
      <c r="AC13" s="30" cm="1">
        <f t="array" ref="AC13">Nil</f>
        <v>0</v>
      </c>
      <c r="AD13" s="85" cm="1">
        <f t="array" ref="AD13">Nil</f>
        <v>0</v>
      </c>
    </row>
    <row r="14" spans="1:30" x14ac:dyDescent="0.35">
      <c r="A14" s="105" t="s">
        <v>187</v>
      </c>
      <c r="N14" s="100"/>
      <c r="AA14" s="88">
        <f t="shared" si="3"/>
        <v>0</v>
      </c>
      <c r="AB14" s="88"/>
      <c r="AD14" s="85"/>
    </row>
    <row r="15" spans="1:30" x14ac:dyDescent="0.35">
      <c r="A15" s="30" t="s">
        <v>188</v>
      </c>
      <c r="B15" s="30" cm="1">
        <f t="array" ref="B15">Nil</f>
        <v>0</v>
      </c>
      <c r="C15" s="30" cm="1">
        <f t="array" ref="C15">Nil</f>
        <v>0</v>
      </c>
      <c r="D15" s="30" cm="1">
        <f t="array" ref="D15">Nil</f>
        <v>0</v>
      </c>
      <c r="E15" s="30" cm="1">
        <f t="array" ref="E15">Nil</f>
        <v>0</v>
      </c>
      <c r="F15" s="30" cm="1">
        <f t="array" ref="F15">Nil</f>
        <v>0</v>
      </c>
      <c r="G15" s="30" cm="1">
        <f t="array" ref="G15">Nil</f>
        <v>0</v>
      </c>
      <c r="H15" s="30" cm="1">
        <f t="array" ref="H15">Nil</f>
        <v>0</v>
      </c>
      <c r="I15" s="30" cm="1">
        <f t="array" ref="I15">Nil</f>
        <v>0</v>
      </c>
      <c r="J15" s="30" cm="1">
        <f t="array" ref="J15">Nil</f>
        <v>0</v>
      </c>
      <c r="K15" s="30" cm="1">
        <f t="array" ref="K15">Nil</f>
        <v>0</v>
      </c>
      <c r="L15" s="30" cm="1">
        <f t="array" ref="L15">Nil</f>
        <v>0</v>
      </c>
      <c r="M15" s="30" cm="1">
        <f t="array" ref="M15">Nil</f>
        <v>0</v>
      </c>
      <c r="N15" s="100">
        <f t="shared" si="2"/>
        <v>0</v>
      </c>
      <c r="O15" s="30" cm="1">
        <f t="array" ref="O15">Nil</f>
        <v>0</v>
      </c>
      <c r="P15" s="30">
        <f>'Tanker Schedule'!$D$116/M_i_Y</f>
        <v>1998333.3333333333</v>
      </c>
      <c r="Q15" s="30">
        <f>'Tanker Schedule'!$D$116/M_i_Y</f>
        <v>1998333.3333333333</v>
      </c>
      <c r="R15" s="30">
        <f>'Tanker Schedule'!$D$116/M_i_Y</f>
        <v>1998333.3333333333</v>
      </c>
      <c r="S15" s="30">
        <f>'Tanker Schedule'!$D$116/M_i_Y</f>
        <v>1998333.3333333333</v>
      </c>
      <c r="T15" s="30">
        <f>'Tanker Schedule'!$D$116/M_i_Y</f>
        <v>1998333.3333333333</v>
      </c>
      <c r="U15" s="30">
        <f>'Tanker Schedule'!$D$116/M_i_Y</f>
        <v>1998333.3333333333</v>
      </c>
      <c r="V15" s="30">
        <f>'Tanker Schedule'!$D$116/M_i_Y</f>
        <v>1998333.3333333333</v>
      </c>
      <c r="W15" s="30">
        <f>'Tanker Schedule'!$D$116/M_i_Y</f>
        <v>1998333.3333333333</v>
      </c>
      <c r="X15" s="30">
        <f>'Tanker Schedule'!$D$116/M_i_Y</f>
        <v>1998333.3333333333</v>
      </c>
      <c r="Y15" s="30">
        <f>'Tanker Schedule'!$D$116/M_i_Y</f>
        <v>1998333.3333333333</v>
      </c>
      <c r="Z15" s="30">
        <f>'Tanker Schedule'!$D$116/M_i_Y</f>
        <v>1998333.3333333333</v>
      </c>
      <c r="AA15" s="88">
        <f t="shared" si="3"/>
        <v>21981666.666666664</v>
      </c>
      <c r="AB15" s="88">
        <f>('Tanker Schedule'!D116/M_i_Y)+('Tanker Schedule'!D117*(M_i_Y-Increment)/M_i_Y)</f>
        <v>24514416.66666666</v>
      </c>
      <c r="AC15" s="30">
        <f>('Tanker Schedule'!D117/M_i_Y)+('Tanker Schedule'!D118*(M_i_Y-Increment)/M_i_Y)</f>
        <v>25108503.291666664</v>
      </c>
      <c r="AD15" s="85">
        <f>('Tanker Schedule'!D118/M_i_Y)+('Tanker Schedule'!D119*(M_i_Y-Increment)/M_i_Y)</f>
        <v>25504018.299374986</v>
      </c>
    </row>
    <row r="16" spans="1:30" x14ac:dyDescent="0.35">
      <c r="A16" s="30" t="s">
        <v>189</v>
      </c>
      <c r="B16" s="30" cm="1">
        <f t="array" ref="B16">Nil</f>
        <v>0</v>
      </c>
      <c r="C16" s="30" cm="1">
        <f t="array" ref="C16">Nil</f>
        <v>0</v>
      </c>
      <c r="D16" s="30" cm="1">
        <f t="array" ref="D16">Nil</f>
        <v>0</v>
      </c>
      <c r="E16" s="30" cm="1">
        <f t="array" ref="E16">Nil</f>
        <v>0</v>
      </c>
      <c r="F16" s="30" cm="1">
        <f t="array" ref="F16">Nil</f>
        <v>0</v>
      </c>
      <c r="G16" s="30" cm="1">
        <f t="array" ref="G16">Nil</f>
        <v>0</v>
      </c>
      <c r="H16" s="30" cm="1">
        <f t="array" ref="H16">Nil</f>
        <v>0</v>
      </c>
      <c r="I16" s="30" cm="1">
        <f t="array" ref="I16">Nil</f>
        <v>0</v>
      </c>
      <c r="J16" s="30" cm="1">
        <f t="array" ref="J16">Nil</f>
        <v>0</v>
      </c>
      <c r="K16" s="30" cm="1">
        <f t="array" ref="K16">Nil</f>
        <v>0</v>
      </c>
      <c r="L16" s="30" cm="1">
        <f t="array" ref="L16">Nil</f>
        <v>0</v>
      </c>
      <c r="M16" s="30" cm="1">
        <f t="array" ref="M16">Nil</f>
        <v>0</v>
      </c>
      <c r="N16" s="100">
        <f t="shared" si="2"/>
        <v>0</v>
      </c>
      <c r="O16" s="30" cm="1">
        <f t="array" ref="O16">Nil</f>
        <v>0</v>
      </c>
      <c r="P16" s="30">
        <f>'Tanker Schedule'!$I$116/M_i_Y</f>
        <v>82840</v>
      </c>
      <c r="Q16" s="30">
        <f>'Tanker Schedule'!$I$116/M_i_Y</f>
        <v>82840</v>
      </c>
      <c r="R16" s="30">
        <f>'Tanker Schedule'!$I$116/M_i_Y</f>
        <v>82840</v>
      </c>
      <c r="S16" s="30">
        <f>'Tanker Schedule'!$I$116/M_i_Y</f>
        <v>82840</v>
      </c>
      <c r="T16" s="30">
        <f>'Tanker Schedule'!$I$116/M_i_Y</f>
        <v>82840</v>
      </c>
      <c r="U16" s="30">
        <f>'Tanker Schedule'!$I$116/M_i_Y</f>
        <v>82840</v>
      </c>
      <c r="V16" s="30">
        <f>'Tanker Schedule'!$I$116/M_i_Y</f>
        <v>82840</v>
      </c>
      <c r="W16" s="30">
        <f>'Tanker Schedule'!$I$116/M_i_Y</f>
        <v>82840</v>
      </c>
      <c r="X16" s="30">
        <f>'Tanker Schedule'!$I$116/M_i_Y</f>
        <v>82840</v>
      </c>
      <c r="Y16" s="30">
        <f>'Tanker Schedule'!$I$116/M_i_Y</f>
        <v>82840</v>
      </c>
      <c r="Z16" s="30">
        <f>'Tanker Schedule'!$I$116/M_i_Y</f>
        <v>82840</v>
      </c>
      <c r="AA16" s="88">
        <f t="shared" si="3"/>
        <v>911240</v>
      </c>
      <c r="AB16" s="88">
        <f>('Tanker Schedule'!I116/M_i_Y)+('Tanker Schedule'!I117*(M_i_Y-Increment)/M_i_Y)</f>
        <v>1016233.9999999999</v>
      </c>
      <c r="AC16" s="30">
        <f>('Tanker Schedule'!I117/M_i_Y)+('Tanker Schedule'!I118*(M_i_Y-Increment)/M_i_Y)</f>
        <v>1040861.5909999999</v>
      </c>
      <c r="AD16" s="85">
        <f>('Tanker Schedule'!I118/M_i_Y)+('Tanker Schedule'!I119*(M_i_Y-Increment)/M_i_Y)</f>
        <v>1057257.4858649997</v>
      </c>
    </row>
    <row r="17" spans="1:30" x14ac:dyDescent="0.35">
      <c r="A17" s="30" t="s">
        <v>190</v>
      </c>
      <c r="B17" s="30" cm="1">
        <f t="array" ref="B17">Nil</f>
        <v>0</v>
      </c>
      <c r="C17" s="30" cm="1">
        <f t="array" ref="C17">Nil</f>
        <v>0</v>
      </c>
      <c r="D17" s="30" cm="1">
        <f t="array" ref="D17">Nil</f>
        <v>0</v>
      </c>
      <c r="E17" s="30" cm="1">
        <f t="array" ref="E17">Nil</f>
        <v>0</v>
      </c>
      <c r="F17" s="30" cm="1">
        <f t="array" ref="F17">Nil</f>
        <v>0</v>
      </c>
      <c r="G17" s="30" cm="1">
        <f t="array" ref="G17">Nil</f>
        <v>0</v>
      </c>
      <c r="H17" s="30" cm="1">
        <f t="array" ref="H17">Nil</f>
        <v>0</v>
      </c>
      <c r="I17" s="30" cm="1">
        <f t="array" ref="I17">Nil</f>
        <v>0</v>
      </c>
      <c r="J17" s="30" cm="1">
        <f t="array" ref="J17">Nil</f>
        <v>0</v>
      </c>
      <c r="K17" s="30" cm="1">
        <f t="array" ref="K17">Nil</f>
        <v>0</v>
      </c>
      <c r="L17" s="30" cm="1">
        <f t="array" ref="L17">Nil</f>
        <v>0</v>
      </c>
      <c r="M17" s="30" cm="1">
        <f t="array" ref="M17">Nil</f>
        <v>0</v>
      </c>
      <c r="N17" s="100">
        <f t="shared" si="2"/>
        <v>0</v>
      </c>
      <c r="O17" s="30" cm="1">
        <f t="array" ref="O17">Nil</f>
        <v>0</v>
      </c>
      <c r="P17" s="30">
        <f>'Tanker Schedule'!$D$150/M_i_Y</f>
        <v>363333.33333333331</v>
      </c>
      <c r="Q17" s="30">
        <f>'Tanker Schedule'!$D$150/M_i_Y</f>
        <v>363333.33333333331</v>
      </c>
      <c r="R17" s="30">
        <f>'Tanker Schedule'!$D$150/M_i_Y</f>
        <v>363333.33333333331</v>
      </c>
      <c r="S17" s="30">
        <f>'Tanker Schedule'!$D$150/M_i_Y</f>
        <v>363333.33333333331</v>
      </c>
      <c r="T17" s="30">
        <f>'Tanker Schedule'!$D$150/M_i_Y</f>
        <v>363333.33333333331</v>
      </c>
      <c r="U17" s="30">
        <f>'Tanker Schedule'!$D$150/M_i_Y</f>
        <v>363333.33333333331</v>
      </c>
      <c r="V17" s="30">
        <f>'Tanker Schedule'!$D$150/M_i_Y</f>
        <v>363333.33333333331</v>
      </c>
      <c r="W17" s="30">
        <f>'Tanker Schedule'!$D$150/M_i_Y</f>
        <v>363333.33333333331</v>
      </c>
      <c r="X17" s="30">
        <f>'Tanker Schedule'!$D$150/M_i_Y</f>
        <v>363333.33333333331</v>
      </c>
      <c r="Y17" s="30">
        <f>'Tanker Schedule'!$D$150/M_i_Y</f>
        <v>363333.33333333331</v>
      </c>
      <c r="Z17" s="30">
        <f>'Tanker Schedule'!$D$150/M_i_Y</f>
        <v>363333.33333333331</v>
      </c>
      <c r="AA17" s="88">
        <f t="shared" si="3"/>
        <v>3996666.6666666674</v>
      </c>
      <c r="AB17" s="88">
        <f>('Tanker Schedule'!D150/M_i_Y)+('Tanker Schedule'!D151*(M_i_Y-Increment)/M_i_Y)</f>
        <v>4457166.666666666</v>
      </c>
      <c r="AC17" s="30">
        <f>('Tanker Schedule'!D151/M_i_Y)+('Tanker Schedule'!D152*(M_i_Y-Increment)/M_i_Y)</f>
        <v>4565182.4166666651</v>
      </c>
      <c r="AD17" s="85">
        <f>('Tanker Schedule'!D152/M_i_Y)+('Tanker Schedule'!D153*(M_i_Y-Increment)/M_i_Y)</f>
        <v>4637094.2362499991</v>
      </c>
    </row>
    <row r="18" spans="1:30" x14ac:dyDescent="0.35">
      <c r="A18" s="30" t="s">
        <v>191</v>
      </c>
      <c r="B18" s="30" cm="1">
        <f t="array" ref="B18">Nil</f>
        <v>0</v>
      </c>
      <c r="C18" s="30" cm="1">
        <f t="array" ref="C18">Nil</f>
        <v>0</v>
      </c>
      <c r="D18" s="30" cm="1">
        <f t="array" ref="D18">Nil</f>
        <v>0</v>
      </c>
      <c r="E18" s="30" cm="1">
        <f t="array" ref="E18">Nil</f>
        <v>0</v>
      </c>
      <c r="F18" s="30" cm="1">
        <f t="array" ref="F18">Nil</f>
        <v>0</v>
      </c>
      <c r="G18" s="30" cm="1">
        <f t="array" ref="G18">Nil</f>
        <v>0</v>
      </c>
      <c r="H18" s="30" cm="1">
        <f t="array" ref="H18">Nil</f>
        <v>0</v>
      </c>
      <c r="I18" s="30" cm="1">
        <f t="array" ref="I18">Nil</f>
        <v>0</v>
      </c>
      <c r="J18" s="30" cm="1">
        <f t="array" ref="J18">Nil</f>
        <v>0</v>
      </c>
      <c r="K18" s="30" cm="1">
        <f t="array" ref="K18">Nil</f>
        <v>0</v>
      </c>
      <c r="L18" s="30" cm="1">
        <f t="array" ref="L18">Nil</f>
        <v>0</v>
      </c>
      <c r="M18" s="30" cm="1">
        <f t="array" ref="M18">Nil</f>
        <v>0</v>
      </c>
      <c r="N18" s="100">
        <f t="shared" si="2"/>
        <v>0</v>
      </c>
      <c r="O18" s="30" cm="1">
        <f t="array" ref="O18">Nil</f>
        <v>0</v>
      </c>
      <c r="P18" s="30" cm="1">
        <f t="array" ref="P18">'Tanker Schedule'!$I$82/D_i_Y*Days_Jan</f>
        <v>52898179.329226561</v>
      </c>
      <c r="Q18" s="30" cm="1">
        <f t="array" ref="Q18">'Tanker Schedule'!$I$82/D_i_Y*Days_Feb</f>
        <v>48205598.904859684</v>
      </c>
      <c r="R18" s="30" cm="1">
        <f t="array" ref="R18">'Tanker Schedule'!$I$82/D_i_Y*Days_Mar</f>
        <v>52898179.329226561</v>
      </c>
      <c r="S18" s="30" cm="1">
        <f t="array" ref="S18">'Tanker Schedule'!$I$82/D_i_Y*Days_Apr</f>
        <v>51191786.447638609</v>
      </c>
      <c r="T18" s="30" cm="1">
        <f t="array" ref="T18">'Tanker Schedule'!$I$82/D_i_Y*Days_May</f>
        <v>52898179.329226561</v>
      </c>
      <c r="U18" s="30" cm="1">
        <f t="array" ref="U18">'Tanker Schedule'!$I$82/D_i_Y*Days_Jun</f>
        <v>51191786.447638609</v>
      </c>
      <c r="V18" s="30" cm="1">
        <f t="array" ref="V18">'Tanker Schedule'!$I$82/D_i_Y*Days_Jul</f>
        <v>52898179.329226561</v>
      </c>
      <c r="W18" s="30" cm="1">
        <f t="array" ref="W18">'Tanker Schedule'!$I$82/D_i_Y*Days_Aug</f>
        <v>52898179.329226561</v>
      </c>
      <c r="X18" s="30" cm="1">
        <f t="array" ref="X18">'Tanker Schedule'!$I$82/D_i_Y*Days_Sept</f>
        <v>51191786.447638609</v>
      </c>
      <c r="Y18" s="30" cm="1">
        <f t="array" ref="Y18">'Tanker Schedule'!$I$82/D_i_Y*Days_Oct</f>
        <v>52898179.329226561</v>
      </c>
      <c r="Z18" s="30" cm="1">
        <f t="array" ref="Z18">'Tanker Schedule'!$I$82/D_i_Y*Days_Nov</f>
        <v>51191786.447638609</v>
      </c>
      <c r="AA18" s="88">
        <f t="shared" si="3"/>
        <v>570361820.67077351</v>
      </c>
      <c r="AB18" s="88" cm="1">
        <f t="array" ref="AB18">('Tanker Schedule'!$I$82/D_i_Y*Days_Dec)+('Tanker Schedule'!I83*(D_i_Y-Days_Dec)/D_i_Y)</f>
        <v>634710013.54996574</v>
      </c>
      <c r="AC18" s="30" cm="1">
        <f t="array" ref="AC18">('Tanker Schedule'!I83/D_i_Y*Days_Dec)+('Tanker Schedule'!I84*(D_i_Y-Days_Dec)/D_i_Y)</f>
        <v>647451817.07198107</v>
      </c>
      <c r="AD18" s="85" cm="1">
        <f t="array" ref="AD18">('Tanker Schedule'!I84/D_i_Y*Days_Dec)+('Tanker Schedule'!I85*(D_i_Y-Days_Dec)/D_i_Y)</f>
        <v>660449412.29970098</v>
      </c>
    </row>
    <row r="19" spans="1:30" x14ac:dyDescent="0.35">
      <c r="A19" s="105" t="s">
        <v>192</v>
      </c>
      <c r="N19" s="100"/>
      <c r="AA19" s="88"/>
      <c r="AB19" s="88"/>
      <c r="AD19" s="85"/>
    </row>
    <row r="20" spans="1:30" x14ac:dyDescent="0.35">
      <c r="A20" s="88" t="s">
        <v>193</v>
      </c>
      <c r="B20" s="30" cm="1">
        <f t="array" ref="B20">Nil</f>
        <v>0</v>
      </c>
      <c r="C20" s="30" cm="1">
        <f t="array" ref="C20">Nil</f>
        <v>0</v>
      </c>
      <c r="D20" s="30" cm="1">
        <f t="array" ref="D20">Nil</f>
        <v>0</v>
      </c>
      <c r="E20" s="30" cm="1">
        <f t="array" ref="E20">Nil</f>
        <v>0</v>
      </c>
      <c r="F20" s="30" cm="1">
        <f t="array" ref="F20">Nil</f>
        <v>0</v>
      </c>
      <c r="G20" s="30" cm="1">
        <f t="array" ref="G20">Nil</f>
        <v>0</v>
      </c>
      <c r="H20" s="30" cm="1">
        <f t="array" ref="H20">Nil</f>
        <v>0</v>
      </c>
      <c r="I20" s="30" cm="1">
        <f t="array" ref="I20">Nil</f>
        <v>0</v>
      </c>
      <c r="J20" s="30" cm="1">
        <f t="array" ref="J20">Nil</f>
        <v>0</v>
      </c>
      <c r="K20" s="30" cm="1">
        <f t="array" ref="K20">Nil</f>
        <v>0</v>
      </c>
      <c r="L20" s="30" cm="1">
        <f t="array" ref="L20">Nil</f>
        <v>0</v>
      </c>
      <c r="M20" s="30" cm="1">
        <f t="array" ref="M20">Nil</f>
        <v>0</v>
      </c>
      <c r="N20" s="100">
        <f t="shared" si="2"/>
        <v>0</v>
      </c>
      <c r="O20" s="30">
        <f>Insurance_Tanker</f>
        <v>1800000</v>
      </c>
      <c r="P20" s="30" cm="1">
        <f t="array" ref="P20">Nil</f>
        <v>0</v>
      </c>
      <c r="Q20" s="30" cm="1">
        <f t="array" ref="Q20">Nil</f>
        <v>0</v>
      </c>
      <c r="R20" s="30" cm="1">
        <f t="array" ref="R20">Nil</f>
        <v>0</v>
      </c>
      <c r="S20" s="30" cm="1">
        <f t="array" ref="S20">Nil</f>
        <v>0</v>
      </c>
      <c r="T20" s="30" cm="1">
        <f t="array" ref="T20">Nil</f>
        <v>0</v>
      </c>
      <c r="U20" s="30" cm="1">
        <f t="array" ref="U20">Nil</f>
        <v>0</v>
      </c>
      <c r="V20" s="30" cm="1">
        <f t="array" ref="V20">Nil</f>
        <v>0</v>
      </c>
      <c r="W20" s="30" cm="1">
        <f t="array" ref="W20">Nil</f>
        <v>0</v>
      </c>
      <c r="X20" s="30" cm="1">
        <f t="array" ref="X20">Nil</f>
        <v>0</v>
      </c>
      <c r="Y20" s="30" cm="1">
        <f t="array" ref="Y20">Nil</f>
        <v>0</v>
      </c>
      <c r="Z20" s="30" cm="1">
        <f t="array" ref="Z20">Nil</f>
        <v>0</v>
      </c>
      <c r="AA20" s="88">
        <f t="shared" si="3"/>
        <v>1800000</v>
      </c>
      <c r="AB20" s="88">
        <f>AA20*(Increment+Inflation_Annual)</f>
        <v>1826999.9999999998</v>
      </c>
      <c r="AC20" s="30">
        <f>AB20*(Increment+Inflation_Annual)</f>
        <v>1854404.9999999995</v>
      </c>
      <c r="AD20" s="85">
        <f>AC20*(Increment+Inflation_Annual)</f>
        <v>1882221.0749999993</v>
      </c>
    </row>
    <row r="21" spans="1:30" x14ac:dyDescent="0.35">
      <c r="A21" s="88" t="s">
        <v>194</v>
      </c>
      <c r="B21" s="30" cm="1">
        <f t="array" ref="B21">Nil</f>
        <v>0</v>
      </c>
      <c r="C21" s="30" cm="1">
        <f t="array" ref="C21">Nil</f>
        <v>0</v>
      </c>
      <c r="D21" s="30" cm="1">
        <f t="array" ref="D21">Nil</f>
        <v>0</v>
      </c>
      <c r="E21" s="30" cm="1">
        <f t="array" ref="E21">Nil</f>
        <v>0</v>
      </c>
      <c r="F21" s="30" cm="1">
        <f t="array" ref="F21">Nil</f>
        <v>0</v>
      </c>
      <c r="G21" s="30" cm="1">
        <f t="array" ref="G21">Nil</f>
        <v>0</v>
      </c>
      <c r="H21" s="30" cm="1">
        <f t="array" ref="H21">Nil</f>
        <v>0</v>
      </c>
      <c r="I21" s="30" cm="1">
        <f t="array" ref="I21">Nil</f>
        <v>0</v>
      </c>
      <c r="J21" s="30" cm="1">
        <f t="array" ref="J21">Nil</f>
        <v>0</v>
      </c>
      <c r="K21" s="30" cm="1">
        <f t="array" ref="K21">Nil</f>
        <v>0</v>
      </c>
      <c r="L21" s="30" cm="1">
        <f t="array" ref="L21">Nil</f>
        <v>0</v>
      </c>
      <c r="M21" s="30" cm="1">
        <f t="array" ref="M21">Nil</f>
        <v>0</v>
      </c>
      <c r="N21" s="100">
        <f t="shared" si="2"/>
        <v>0</v>
      </c>
      <c r="O21" s="30">
        <f>'Tanker Schedule'!$H$48</f>
        <v>237938.596491228</v>
      </c>
      <c r="P21" s="30">
        <f>'Tanker Schedule'!$H$48</f>
        <v>237938.596491228</v>
      </c>
      <c r="Q21" s="30">
        <f>'Tanker Schedule'!$H$48</f>
        <v>237938.596491228</v>
      </c>
      <c r="R21" s="30">
        <f>'Tanker Schedule'!$H$48</f>
        <v>237938.596491228</v>
      </c>
      <c r="S21" s="30">
        <f>'Tanker Schedule'!$H$48</f>
        <v>237938.596491228</v>
      </c>
      <c r="T21" s="30">
        <f>'Tanker Schedule'!$H$48</f>
        <v>237938.596491228</v>
      </c>
      <c r="U21" s="30">
        <f>'Tanker Schedule'!$H$48</f>
        <v>237938.596491228</v>
      </c>
      <c r="V21" s="30">
        <f>'Tanker Schedule'!$H$48</f>
        <v>237938.596491228</v>
      </c>
      <c r="W21" s="30">
        <f>'Tanker Schedule'!$H$48</f>
        <v>237938.596491228</v>
      </c>
      <c r="X21" s="30">
        <f>'Tanker Schedule'!$H$48</f>
        <v>237938.596491228</v>
      </c>
      <c r="Y21" s="30">
        <f>'Tanker Schedule'!$H$48</f>
        <v>237938.596491228</v>
      </c>
      <c r="Z21" s="30">
        <f>'Tanker Schedule'!$H$48</f>
        <v>237938.596491228</v>
      </c>
      <c r="AA21" s="88">
        <f t="shared" si="3"/>
        <v>2855263.1578947357</v>
      </c>
      <c r="AB21" s="88">
        <f>'Tanker Schedule'!F49</f>
        <v>2898092.1052631568</v>
      </c>
      <c r="AC21" s="30">
        <f>'Tanker Schedule'!F50</f>
        <v>2941563.4868421042</v>
      </c>
      <c r="AD21" s="85">
        <f>'Tanker Schedule'!F51</f>
        <v>2985686.9391447357</v>
      </c>
    </row>
    <row r="22" spans="1:30" x14ac:dyDescent="0.35">
      <c r="A22" s="88" t="s">
        <v>195</v>
      </c>
      <c r="N22" s="100"/>
      <c r="O22" s="30" cm="1">
        <f t="array" ref="O22">Nil</f>
        <v>0</v>
      </c>
      <c r="P22" s="30">
        <f>'Tanker Schedule'!$I$48</f>
        <v>53728.070175438595</v>
      </c>
      <c r="Q22" s="30">
        <f>'Tanker Schedule'!$I$48</f>
        <v>53728.070175438595</v>
      </c>
      <c r="R22" s="30">
        <f>'Tanker Schedule'!$I$48</f>
        <v>53728.070175438595</v>
      </c>
      <c r="S22" s="30">
        <f>'Tanker Schedule'!$I$48</f>
        <v>53728.070175438595</v>
      </c>
      <c r="T22" s="30">
        <f>'Tanker Schedule'!$I$48</f>
        <v>53728.070175438595</v>
      </c>
      <c r="U22" s="30">
        <f>'Tanker Schedule'!$I$48</f>
        <v>53728.070175438595</v>
      </c>
      <c r="V22" s="30">
        <f>'Tanker Schedule'!$I$48</f>
        <v>53728.070175438595</v>
      </c>
      <c r="W22" s="30">
        <f>'Tanker Schedule'!$I$48</f>
        <v>53728.070175438595</v>
      </c>
      <c r="X22" s="30">
        <f>'Tanker Schedule'!$I$48</f>
        <v>53728.070175438595</v>
      </c>
      <c r="Y22" s="30">
        <f>'Tanker Schedule'!$I$48</f>
        <v>53728.070175438595</v>
      </c>
      <c r="Z22" s="30">
        <f>'Tanker Schedule'!$I$48</f>
        <v>53728.070175438595</v>
      </c>
      <c r="AA22" s="88">
        <f>SUM(O22:Z22)</f>
        <v>591008.77192982449</v>
      </c>
      <c r="AB22" s="88">
        <f>'Tanker Schedule'!I48+('Tanker Schedule'!I49*(M_i_Y-Increment))</f>
        <v>653601.97368421056</v>
      </c>
      <c r="AC22" s="30">
        <f>'Tanker Schedule'!I49+('Tanker Schedule'!I50*(M_i_Y-Increment))</f>
        <v>663406.00328947348</v>
      </c>
      <c r="AD22" s="85">
        <f>'Tanker Schedule'!I50+('Tanker Schedule'!I51*(M_i_Y-Increment))</f>
        <v>673357.0933388155</v>
      </c>
    </row>
    <row r="23" spans="1:30" x14ac:dyDescent="0.35">
      <c r="A23" s="88" t="s">
        <v>196</v>
      </c>
      <c r="B23" s="30" cm="1">
        <f t="array" ref="B23">Nil</f>
        <v>0</v>
      </c>
      <c r="C23" s="30" cm="1">
        <f t="array" ref="C23">Nil</f>
        <v>0</v>
      </c>
      <c r="D23" s="30" cm="1">
        <f t="array" ref="D23">Nil</f>
        <v>0</v>
      </c>
      <c r="E23" s="30" cm="1">
        <f t="array" ref="E23">Nil</f>
        <v>0</v>
      </c>
      <c r="F23" s="30" cm="1">
        <f t="array" ref="F23">Nil</f>
        <v>0</v>
      </c>
      <c r="G23" s="30" cm="1">
        <f t="array" ref="G23">Nil</f>
        <v>0</v>
      </c>
      <c r="H23" s="30" cm="1">
        <f t="array" ref="H23">Nil</f>
        <v>0</v>
      </c>
      <c r="I23" s="30" cm="1">
        <f t="array" ref="I23">Nil</f>
        <v>0</v>
      </c>
      <c r="J23" s="30" cm="1">
        <f t="array" ref="J23">Nil</f>
        <v>0</v>
      </c>
      <c r="K23" s="30" cm="1">
        <f t="array" ref="K23">Nil</f>
        <v>0</v>
      </c>
      <c r="L23" s="30" cm="1">
        <f t="array" ref="L23">Nil</f>
        <v>0</v>
      </c>
      <c r="M23" s="30" cm="1">
        <f t="array" ref="M23">Nil</f>
        <v>0</v>
      </c>
      <c r="N23" s="100">
        <f t="shared" si="2"/>
        <v>0</v>
      </c>
      <c r="O23" s="30">
        <f t="shared" ref="O23:Z23" si="7">General_Tanker/M_i_Y</f>
        <v>166666.66666666666</v>
      </c>
      <c r="P23" s="30">
        <f t="shared" si="7"/>
        <v>166666.66666666666</v>
      </c>
      <c r="Q23" s="30">
        <f t="shared" si="7"/>
        <v>166666.66666666666</v>
      </c>
      <c r="R23" s="30">
        <f t="shared" si="7"/>
        <v>166666.66666666666</v>
      </c>
      <c r="S23" s="30">
        <f t="shared" si="7"/>
        <v>166666.66666666666</v>
      </c>
      <c r="T23" s="30">
        <f t="shared" si="7"/>
        <v>166666.66666666666</v>
      </c>
      <c r="U23" s="30">
        <f t="shared" si="7"/>
        <v>166666.66666666666</v>
      </c>
      <c r="V23" s="30">
        <f t="shared" si="7"/>
        <v>166666.66666666666</v>
      </c>
      <c r="W23" s="30">
        <f t="shared" si="7"/>
        <v>166666.66666666666</v>
      </c>
      <c r="X23" s="30">
        <f t="shared" si="7"/>
        <v>166666.66666666666</v>
      </c>
      <c r="Y23" s="30">
        <f t="shared" si="7"/>
        <v>166666.66666666666</v>
      </c>
      <c r="Z23" s="30">
        <f t="shared" si="7"/>
        <v>166666.66666666666</v>
      </c>
      <c r="AA23" s="88">
        <f t="shared" si="3"/>
        <v>2000000.0000000002</v>
      </c>
      <c r="AB23" s="88">
        <f t="shared" ref="AB23:AD24" si="8">AA23*(Increment+Inflation_Annual)</f>
        <v>2030000</v>
      </c>
      <c r="AC23" s="30">
        <f t="shared" si="8"/>
        <v>2060449.9999999998</v>
      </c>
      <c r="AD23" s="85">
        <f t="shared" si="8"/>
        <v>2091356.7499999995</v>
      </c>
    </row>
    <row r="24" spans="1:30" x14ac:dyDescent="0.35">
      <c r="A24" s="88" t="s">
        <v>197</v>
      </c>
      <c r="B24" s="30" cm="1">
        <f t="array" ref="B24">Nil</f>
        <v>0</v>
      </c>
      <c r="C24" s="30" cm="1">
        <f t="array" ref="C24">Nil</f>
        <v>0</v>
      </c>
      <c r="D24" s="30" cm="1">
        <f t="array" ref="D24">Nil</f>
        <v>0</v>
      </c>
      <c r="E24" s="30" cm="1">
        <f t="array" ref="E24">Nil</f>
        <v>0</v>
      </c>
      <c r="F24" s="30" cm="1">
        <f t="array" ref="F24">Nil</f>
        <v>0</v>
      </c>
      <c r="G24" s="30" cm="1">
        <f t="array" ref="G24">Nil</f>
        <v>0</v>
      </c>
      <c r="H24" s="30" cm="1">
        <f t="array" ref="H24">Nil</f>
        <v>0</v>
      </c>
      <c r="I24" s="30" cm="1">
        <f t="array" ref="I24">Nil</f>
        <v>0</v>
      </c>
      <c r="J24" s="30" cm="1">
        <f t="array" ref="J24">Nil</f>
        <v>0</v>
      </c>
      <c r="K24" s="30" cm="1">
        <f t="array" ref="K24">Nil</f>
        <v>0</v>
      </c>
      <c r="L24" s="30" cm="1">
        <f t="array" ref="L24">Nil</f>
        <v>0</v>
      </c>
      <c r="M24" s="30" cm="1">
        <f t="array" ref="M24">Nil</f>
        <v>0</v>
      </c>
      <c r="N24" s="100">
        <f t="shared" si="2"/>
        <v>0</v>
      </c>
      <c r="O24" s="30">
        <f t="shared" ref="O24:Z24" si="9">Stores_Spares_Lube/M_i_Y</f>
        <v>166666.66666666666</v>
      </c>
      <c r="P24" s="30">
        <f t="shared" si="9"/>
        <v>166666.66666666666</v>
      </c>
      <c r="Q24" s="30">
        <f t="shared" si="9"/>
        <v>166666.66666666666</v>
      </c>
      <c r="R24" s="30">
        <f t="shared" si="9"/>
        <v>166666.66666666666</v>
      </c>
      <c r="S24" s="30">
        <f t="shared" si="9"/>
        <v>166666.66666666666</v>
      </c>
      <c r="T24" s="30">
        <f t="shared" si="9"/>
        <v>166666.66666666666</v>
      </c>
      <c r="U24" s="30">
        <f t="shared" si="9"/>
        <v>166666.66666666666</v>
      </c>
      <c r="V24" s="30">
        <f t="shared" si="9"/>
        <v>166666.66666666666</v>
      </c>
      <c r="W24" s="30">
        <f t="shared" si="9"/>
        <v>166666.66666666666</v>
      </c>
      <c r="X24" s="30">
        <f t="shared" si="9"/>
        <v>166666.66666666666</v>
      </c>
      <c r="Y24" s="30">
        <f t="shared" si="9"/>
        <v>166666.66666666666</v>
      </c>
      <c r="Z24" s="30">
        <f t="shared" si="9"/>
        <v>166666.66666666666</v>
      </c>
      <c r="AA24" s="88">
        <f t="shared" si="3"/>
        <v>2000000.0000000002</v>
      </c>
      <c r="AB24" s="88">
        <f t="shared" si="8"/>
        <v>2030000</v>
      </c>
      <c r="AC24" s="30">
        <f t="shared" si="8"/>
        <v>2060449.9999999998</v>
      </c>
      <c r="AD24" s="85">
        <f t="shared" si="8"/>
        <v>2091356.7499999995</v>
      </c>
    </row>
    <row r="25" spans="1:30" x14ac:dyDescent="0.35">
      <c r="A25" s="88" t="s">
        <v>198</v>
      </c>
      <c r="B25" s="30" cm="1">
        <f t="array" ref="B25">Nil</f>
        <v>0</v>
      </c>
      <c r="C25" s="30" cm="1">
        <f t="array" ref="C25">Nil</f>
        <v>0</v>
      </c>
      <c r="D25" s="30" cm="1">
        <f t="array" ref="D25">Nil</f>
        <v>0</v>
      </c>
      <c r="E25" s="30" cm="1">
        <f t="array" ref="E25">Nil</f>
        <v>0</v>
      </c>
      <c r="F25" s="30" cm="1">
        <f t="array" ref="F25">Nil</f>
        <v>0</v>
      </c>
      <c r="G25" s="30" cm="1">
        <f t="array" ref="G25">Nil</f>
        <v>0</v>
      </c>
      <c r="H25" s="30" cm="1">
        <f t="array" ref="H25">Nil</f>
        <v>0</v>
      </c>
      <c r="I25" s="30" cm="1">
        <f t="array" ref="I25">Nil</f>
        <v>0</v>
      </c>
      <c r="J25" s="30" cm="1">
        <f t="array" ref="J25">Nil</f>
        <v>0</v>
      </c>
      <c r="K25" s="30" cm="1">
        <f t="array" ref="K25">Nil</f>
        <v>0</v>
      </c>
      <c r="L25" s="30" cm="1">
        <f t="array" ref="L25">Nil</f>
        <v>0</v>
      </c>
      <c r="M25" s="30" cm="1">
        <f t="array" ref="M25">Nil</f>
        <v>0</v>
      </c>
      <c r="N25" s="100">
        <f t="shared" si="2"/>
        <v>0</v>
      </c>
      <c r="O25" s="30">
        <f t="shared" ref="O25:Z25" si="10">Carbon_Offset_Tanker/M_i_Y</f>
        <v>2750000</v>
      </c>
      <c r="P25" s="30">
        <f t="shared" si="10"/>
        <v>2750000</v>
      </c>
      <c r="Q25" s="30">
        <f t="shared" si="10"/>
        <v>2750000</v>
      </c>
      <c r="R25" s="30">
        <f t="shared" si="10"/>
        <v>2750000</v>
      </c>
      <c r="S25" s="30">
        <f t="shared" si="10"/>
        <v>2750000</v>
      </c>
      <c r="T25" s="30">
        <f t="shared" si="10"/>
        <v>2750000</v>
      </c>
      <c r="U25" s="30">
        <f t="shared" si="10"/>
        <v>2750000</v>
      </c>
      <c r="V25" s="30">
        <f t="shared" si="10"/>
        <v>2750000</v>
      </c>
      <c r="W25" s="30">
        <f t="shared" si="10"/>
        <v>2750000</v>
      </c>
      <c r="X25" s="30">
        <f t="shared" si="10"/>
        <v>2750000</v>
      </c>
      <c r="Y25" s="30">
        <f t="shared" si="10"/>
        <v>2750000</v>
      </c>
      <c r="Z25" s="30">
        <f t="shared" si="10"/>
        <v>2750000</v>
      </c>
      <c r="AA25" s="88">
        <f t="shared" si="3"/>
        <v>33000000</v>
      </c>
      <c r="AB25" s="88">
        <f>AA25*(Increment+Inflation_Carbon_Offset)</f>
        <v>34287000</v>
      </c>
      <c r="AC25" s="30">
        <f>AB25*(Increment+Inflation_Carbon_Offset)</f>
        <v>35624193</v>
      </c>
      <c r="AD25" s="85" cm="1">
        <f t="array" ref="AD25">AC25*(Increment+Inflation_Carbon_Offset)*Y5_Carbon_Increase</f>
        <v>74027073.05399999</v>
      </c>
    </row>
    <row r="26" spans="1:30" x14ac:dyDescent="0.35">
      <c r="A26" s="105" t="s">
        <v>199</v>
      </c>
      <c r="N26" s="100"/>
      <c r="AA26" s="88">
        <f t="shared" si="3"/>
        <v>0</v>
      </c>
      <c r="AB26" s="88"/>
      <c r="AD26" s="85"/>
    </row>
    <row r="27" spans="1:30" x14ac:dyDescent="0.35">
      <c r="A27" s="88" t="s">
        <v>200</v>
      </c>
      <c r="B27" s="30" cm="1">
        <f t="array" ref="B27">Nil</f>
        <v>0</v>
      </c>
      <c r="C27" s="30" cm="1">
        <f t="array" ref="C27">Nil</f>
        <v>0</v>
      </c>
      <c r="D27" s="30" cm="1">
        <f t="array" ref="D27">Nil</f>
        <v>0</v>
      </c>
      <c r="E27" s="30" cm="1">
        <f t="array" ref="E27">Nil</f>
        <v>0</v>
      </c>
      <c r="F27" s="30" cm="1">
        <f t="array" ref="F27">Nil</f>
        <v>0</v>
      </c>
      <c r="G27" s="30" cm="1">
        <f t="array" ref="G27">Nil</f>
        <v>0</v>
      </c>
      <c r="H27" s="30" cm="1">
        <f t="array" ref="H27">Nil</f>
        <v>0</v>
      </c>
      <c r="I27" s="30" cm="1">
        <f t="array" ref="I27">Nil</f>
        <v>0</v>
      </c>
      <c r="J27" s="30" cm="1">
        <f t="array" ref="J27">Nil</f>
        <v>0</v>
      </c>
      <c r="K27" s="30" cm="1">
        <f t="array" ref="K27">Nil</f>
        <v>0</v>
      </c>
      <c r="L27" s="30" cm="1">
        <f t="array" ref="L27">Nil</f>
        <v>0</v>
      </c>
      <c r="M27" s="30" cm="1">
        <f t="array" ref="M27">Nil</f>
        <v>0</v>
      </c>
      <c r="N27" s="100">
        <f t="shared" si="2"/>
        <v>0</v>
      </c>
      <c r="O27" s="30" cm="1">
        <f t="array" ref="O27">Nil</f>
        <v>0</v>
      </c>
      <c r="P27" s="30" cm="1">
        <f t="array" ref="P27">Nil</f>
        <v>0</v>
      </c>
      <c r="Q27" s="30" cm="1">
        <f t="array" ref="Q27">Nil</f>
        <v>0</v>
      </c>
      <c r="R27" s="30" cm="1">
        <f t="array" ref="R27">Nil</f>
        <v>0</v>
      </c>
      <c r="S27" s="30" cm="1">
        <f t="array" ref="S27">Nil</f>
        <v>0</v>
      </c>
      <c r="T27" s="30" cm="1">
        <f t="array" ref="T27">Nil</f>
        <v>0</v>
      </c>
      <c r="U27" s="30" cm="1">
        <f t="array" ref="U27">Nil</f>
        <v>0</v>
      </c>
      <c r="V27" s="30" cm="1">
        <f t="array" ref="V27">Nil</f>
        <v>0</v>
      </c>
      <c r="W27" s="30" cm="1">
        <f t="array" ref="W27">Nil</f>
        <v>0</v>
      </c>
      <c r="X27" s="30" cm="1">
        <f t="array" ref="X27">Nil</f>
        <v>0</v>
      </c>
      <c r="Y27" s="30" cm="1">
        <f t="array" ref="Y27">Nil</f>
        <v>0</v>
      </c>
      <c r="Z27" s="30" cm="1">
        <f t="array" ref="Z27">Nil</f>
        <v>0</v>
      </c>
      <c r="AA27" s="88">
        <f t="shared" si="3"/>
        <v>0</v>
      </c>
      <c r="AB27" s="88" cm="1">
        <f t="array" ref="AB27">Y3_Port_Repair*(Increment-Insurance_Cov)</f>
        <v>499999.99999999988</v>
      </c>
      <c r="AC27" s="30" cm="1">
        <f t="array" ref="AC27">Nil</f>
        <v>0</v>
      </c>
      <c r="AD27" s="85" cm="1">
        <f t="array" ref="AD27">Nil</f>
        <v>0</v>
      </c>
    </row>
    <row r="28" spans="1:30" x14ac:dyDescent="0.35">
      <c r="A28" s="105" t="s">
        <v>201</v>
      </c>
      <c r="N28" s="100"/>
      <c r="AA28" s="88">
        <f t="shared" si="3"/>
        <v>0</v>
      </c>
      <c r="AB28" s="88"/>
      <c r="AD28" s="85"/>
    </row>
    <row r="29" spans="1:30" x14ac:dyDescent="0.35">
      <c r="A29" s="30" t="s">
        <v>202</v>
      </c>
      <c r="B29" s="30">
        <f>'Tanker Schedule'!$D$185</f>
        <v>0</v>
      </c>
      <c r="C29" s="30">
        <f>'Tanker Schedule'!$D$185</f>
        <v>0</v>
      </c>
      <c r="D29" s="30">
        <f>'Tanker Schedule'!$D$185</f>
        <v>0</v>
      </c>
      <c r="E29" s="30">
        <f>'Tanker Schedule'!$D$185</f>
        <v>0</v>
      </c>
      <c r="F29" s="30">
        <f>'Tanker Schedule'!$D$185</f>
        <v>0</v>
      </c>
      <c r="G29" s="30">
        <f>'Tanker Schedule'!$D$185</f>
        <v>0</v>
      </c>
      <c r="H29" s="30">
        <f>'Tanker Schedule'!$D$185</f>
        <v>0</v>
      </c>
      <c r="I29" s="30">
        <f>'Tanker Schedule'!$D$185</f>
        <v>0</v>
      </c>
      <c r="J29" s="30">
        <f>'Tanker Schedule'!$D$185</f>
        <v>0</v>
      </c>
      <c r="K29" s="30">
        <f>'Tanker Schedule'!$D$185</f>
        <v>0</v>
      </c>
      <c r="L29" s="30">
        <f>'Tanker Schedule'!$D$185</f>
        <v>0</v>
      </c>
      <c r="M29" s="30">
        <f>'Tanker Schedule'!$D$185</f>
        <v>0</v>
      </c>
      <c r="N29" s="100">
        <f t="shared" ref="N29" si="11">SUM(B29:M29)</f>
        <v>0</v>
      </c>
      <c r="O29" s="30" cm="1">
        <f t="array" ref="O29">Nil</f>
        <v>0</v>
      </c>
      <c r="P29" s="30" cm="1">
        <f t="array" ref="P29">Nil</f>
        <v>0</v>
      </c>
      <c r="Q29" s="30" cm="1">
        <f t="array" ref="Q29">Nil</f>
        <v>0</v>
      </c>
      <c r="R29" s="30" cm="1">
        <f t="array" ref="R29">Nil</f>
        <v>0</v>
      </c>
      <c r="S29" s="30" cm="1">
        <f t="array" ref="S29">Nil</f>
        <v>0</v>
      </c>
      <c r="T29" s="30" cm="1">
        <f t="array" ref="T29">Nil</f>
        <v>0</v>
      </c>
      <c r="U29" s="30" cm="1">
        <f t="array" ref="U29">Nil</f>
        <v>0</v>
      </c>
      <c r="V29" s="30" cm="1">
        <f t="array" ref="V29">Nil</f>
        <v>0</v>
      </c>
      <c r="W29" s="30" cm="1">
        <f t="array" ref="W29">Nil</f>
        <v>0</v>
      </c>
      <c r="X29" s="30" cm="1">
        <f t="array" ref="X29">Nil</f>
        <v>0</v>
      </c>
      <c r="Y29" s="30" cm="1">
        <f t="array" ref="Y29">Nil</f>
        <v>0</v>
      </c>
      <c r="Z29" s="30">
        <f>'Tanker Schedule'!D186</f>
        <v>15372204.184712743</v>
      </c>
      <c r="AA29" s="88">
        <f t="shared" si="3"/>
        <v>15372204.184712743</v>
      </c>
      <c r="AB29" s="152">
        <f>'Tanker Schedule'!D187</f>
        <v>15372204.184712743</v>
      </c>
      <c r="AC29" s="81">
        <f>'Tanker Schedule'!D188</f>
        <v>15372204.184712743</v>
      </c>
      <c r="AD29" s="86">
        <f>'Tanker Schedule'!D189</f>
        <v>15372204.184712743</v>
      </c>
    </row>
    <row r="30" spans="1:30" x14ac:dyDescent="0.35">
      <c r="A30" s="101" t="s">
        <v>203</v>
      </c>
      <c r="B30" s="102">
        <f>SUM(B13:B29)</f>
        <v>20833333.333333332</v>
      </c>
      <c r="C30" s="102">
        <f t="shared" ref="C30:N30" si="12">SUM(C13:C29)</f>
        <v>20833333.333333332</v>
      </c>
      <c r="D30" s="102">
        <f t="shared" si="12"/>
        <v>20833333.333333332</v>
      </c>
      <c r="E30" s="102">
        <f t="shared" si="12"/>
        <v>20833333.333333332</v>
      </c>
      <c r="F30" s="102">
        <f t="shared" si="12"/>
        <v>20833333.333333332</v>
      </c>
      <c r="G30" s="102">
        <f t="shared" si="12"/>
        <v>20833333.333333332</v>
      </c>
      <c r="H30" s="102">
        <f t="shared" si="12"/>
        <v>20833333.333333332</v>
      </c>
      <c r="I30" s="102">
        <f t="shared" si="12"/>
        <v>20833333.333333332</v>
      </c>
      <c r="J30" s="102">
        <f t="shared" si="12"/>
        <v>20833333.333333332</v>
      </c>
      <c r="K30" s="102">
        <f t="shared" si="12"/>
        <v>20833333.333333332</v>
      </c>
      <c r="L30" s="102">
        <f t="shared" si="12"/>
        <v>20833333.333333332</v>
      </c>
      <c r="M30" s="102">
        <f t="shared" si="12"/>
        <v>20833333.333333332</v>
      </c>
      <c r="N30" s="103">
        <f t="shared" si="12"/>
        <v>250000000.00000003</v>
      </c>
      <c r="O30" s="102">
        <f t="shared" ref="O30:Z30" si="13">SUM(O13:O29)</f>
        <v>5121271.9298245609</v>
      </c>
      <c r="P30" s="102">
        <f t="shared" si="13"/>
        <v>58717685.995893218</v>
      </c>
      <c r="Q30" s="102">
        <f t="shared" si="13"/>
        <v>54025105.571526341</v>
      </c>
      <c r="R30" s="102">
        <f t="shared" si="13"/>
        <v>58717685.995893218</v>
      </c>
      <c r="S30" s="102">
        <f t="shared" si="13"/>
        <v>57011293.114305265</v>
      </c>
      <c r="T30" s="102">
        <f t="shared" si="13"/>
        <v>58717685.995893218</v>
      </c>
      <c r="U30" s="102">
        <f t="shared" si="13"/>
        <v>57011293.114305265</v>
      </c>
      <c r="V30" s="102">
        <f t="shared" si="13"/>
        <v>58717685.995893218</v>
      </c>
      <c r="W30" s="102">
        <f t="shared" si="13"/>
        <v>58717685.995893218</v>
      </c>
      <c r="X30" s="102">
        <f t="shared" si="13"/>
        <v>57011293.114305265</v>
      </c>
      <c r="Y30" s="102">
        <f t="shared" si="13"/>
        <v>58717685.995893218</v>
      </c>
      <c r="Z30" s="102">
        <f t="shared" si="13"/>
        <v>72383497.29901801</v>
      </c>
      <c r="AA30" s="103">
        <f>SUM(AA12:AA29)</f>
        <v>654869870.11864424</v>
      </c>
      <c r="AB30" s="106">
        <f>SUM(AB12:AB29)</f>
        <v>724295729.14695919</v>
      </c>
      <c r="AC30" s="106">
        <f>SUM(AC12:AC29)</f>
        <v>738743036.04615879</v>
      </c>
      <c r="AD30" s="108">
        <f>SUM(AD12:AD29)</f>
        <v>790771038.16738737</v>
      </c>
    </row>
    <row r="31" spans="1:30" x14ac:dyDescent="0.35">
      <c r="A31" s="112"/>
      <c r="B31" s="112"/>
      <c r="C31" s="112"/>
      <c r="D31" s="112"/>
      <c r="E31" s="112"/>
      <c r="F31" s="112"/>
      <c r="G31" s="112"/>
      <c r="H31" s="112"/>
      <c r="I31" s="112"/>
      <c r="J31" s="112"/>
      <c r="K31" s="112"/>
      <c r="L31" s="112"/>
      <c r="M31" s="112"/>
      <c r="N31" s="113"/>
      <c r="O31" s="112"/>
      <c r="P31" s="112"/>
      <c r="Q31" s="112"/>
      <c r="R31" s="112"/>
      <c r="S31" s="112"/>
      <c r="T31" s="112"/>
      <c r="U31" s="112"/>
      <c r="V31" s="112"/>
      <c r="W31" s="112"/>
      <c r="X31" s="112"/>
      <c r="Y31" s="112"/>
      <c r="Z31" s="112"/>
      <c r="AA31" s="113"/>
      <c r="AB31" s="112"/>
      <c r="AC31" s="112"/>
      <c r="AD31" s="114"/>
    </row>
    <row r="32" spans="1:30" x14ac:dyDescent="0.35">
      <c r="A32" s="101" t="s">
        <v>204</v>
      </c>
      <c r="B32" s="102">
        <f>B10-B30</f>
        <v>833333.33333333582</v>
      </c>
      <c r="C32" s="102">
        <f t="shared" ref="C32:N32" si="14">C10-C30</f>
        <v>833333.33333333582</v>
      </c>
      <c r="D32" s="102">
        <f t="shared" si="14"/>
        <v>833333.33333333582</v>
      </c>
      <c r="E32" s="102">
        <f t="shared" si="14"/>
        <v>833333.33333333582</v>
      </c>
      <c r="F32" s="102">
        <f t="shared" si="14"/>
        <v>833333.33333333582</v>
      </c>
      <c r="G32" s="102">
        <f t="shared" si="14"/>
        <v>833333.33333333582</v>
      </c>
      <c r="H32" s="102">
        <f t="shared" si="14"/>
        <v>833333.33333333582</v>
      </c>
      <c r="I32" s="102">
        <f t="shared" si="14"/>
        <v>833333.33333333582</v>
      </c>
      <c r="J32" s="102">
        <f t="shared" si="14"/>
        <v>833333.33333333582</v>
      </c>
      <c r="K32" s="102">
        <f t="shared" si="14"/>
        <v>833333.33333333582</v>
      </c>
      <c r="L32" s="102">
        <f t="shared" si="14"/>
        <v>833333.33333333582</v>
      </c>
      <c r="M32" s="102">
        <f t="shared" si="14"/>
        <v>833333.33333333582</v>
      </c>
      <c r="N32" s="103">
        <f t="shared" si="14"/>
        <v>9999999.9999999404</v>
      </c>
      <c r="O32" s="102">
        <f t="shared" ref="O32:AD32" si="15">O10-O30</f>
        <v>60031910.821715489</v>
      </c>
      <c r="P32" s="102">
        <f t="shared" si="15"/>
        <v>2634894.4284736589</v>
      </c>
      <c r="Q32" s="102">
        <f t="shared" si="15"/>
        <v>13299849.938398369</v>
      </c>
      <c r="R32" s="102">
        <f t="shared" si="15"/>
        <v>6435496.7556468323</v>
      </c>
      <c r="S32" s="102">
        <f t="shared" si="15"/>
        <v>10313662.395619445</v>
      </c>
      <c r="T32" s="102">
        <f t="shared" si="15"/>
        <v>6435496.7556468323</v>
      </c>
      <c r="U32" s="102">
        <f t="shared" si="15"/>
        <v>10313662.395619445</v>
      </c>
      <c r="V32" s="102">
        <f t="shared" si="15"/>
        <v>8607269.5140314922</v>
      </c>
      <c r="W32" s="102">
        <f t="shared" si="15"/>
        <v>6435496.7556468323</v>
      </c>
      <c r="X32" s="102">
        <f t="shared" si="15"/>
        <v>10313662.395619445</v>
      </c>
      <c r="Y32" s="102">
        <f t="shared" si="15"/>
        <v>6435496.7556468323</v>
      </c>
      <c r="Z32" s="102">
        <f t="shared" si="15"/>
        <v>-5058541.7890933007</v>
      </c>
      <c r="AA32" s="103">
        <f>AA10-AA30</f>
        <v>136198357.1229713</v>
      </c>
      <c r="AB32" s="102">
        <f t="shared" si="15"/>
        <v>84824965.514916182</v>
      </c>
      <c r="AC32" s="102">
        <f t="shared" si="15"/>
        <v>86620756.561053276</v>
      </c>
      <c r="AD32" s="104">
        <f t="shared" si="15"/>
        <v>51161932.576414466</v>
      </c>
    </row>
    <row r="33" spans="1:30" x14ac:dyDescent="0.35">
      <c r="A33" s="106" t="s">
        <v>205</v>
      </c>
      <c r="B33" s="106">
        <f t="shared" ref="B33:M33" si="16">B7+B32</f>
        <v>833333.33333333582</v>
      </c>
      <c r="C33" s="106">
        <f t="shared" si="16"/>
        <v>1666666.6666666716</v>
      </c>
      <c r="D33" s="106">
        <f t="shared" si="16"/>
        <v>2500000.0000000075</v>
      </c>
      <c r="E33" s="106">
        <f t="shared" si="16"/>
        <v>3333333.3333333433</v>
      </c>
      <c r="F33" s="106">
        <f t="shared" si="16"/>
        <v>4166666.6666666791</v>
      </c>
      <c r="G33" s="106">
        <f t="shared" si="16"/>
        <v>5000000.0000000149</v>
      </c>
      <c r="H33" s="106">
        <f t="shared" si="16"/>
        <v>5833333.3333333507</v>
      </c>
      <c r="I33" s="106">
        <f t="shared" si="16"/>
        <v>6666666.6666666865</v>
      </c>
      <c r="J33" s="106">
        <f t="shared" si="16"/>
        <v>7500000.0000000224</v>
      </c>
      <c r="K33" s="106">
        <f t="shared" si="16"/>
        <v>8333333.3333333582</v>
      </c>
      <c r="L33" s="106">
        <f t="shared" si="16"/>
        <v>9166666.666666694</v>
      </c>
      <c r="M33" s="106">
        <f t="shared" si="16"/>
        <v>10000000.00000003</v>
      </c>
      <c r="N33" s="107">
        <f>M33</f>
        <v>10000000.00000003</v>
      </c>
      <c r="O33" s="106">
        <f>O7+O32</f>
        <v>70031910.821715519</v>
      </c>
      <c r="P33" s="106">
        <f t="shared" ref="P33:Z33" si="17">P7+P32</f>
        <v>72666805.250189185</v>
      </c>
      <c r="Q33" s="106">
        <f t="shared" si="17"/>
        <v>85966655.188587546</v>
      </c>
      <c r="R33" s="106">
        <f t="shared" si="17"/>
        <v>92402151.944234371</v>
      </c>
      <c r="S33" s="106">
        <f t="shared" si="17"/>
        <v>102715814.33985382</v>
      </c>
      <c r="T33" s="106">
        <f t="shared" si="17"/>
        <v>109151311.09550065</v>
      </c>
      <c r="U33" s="106">
        <f t="shared" si="17"/>
        <v>119464973.4911201</v>
      </c>
      <c r="V33" s="106">
        <f t="shared" si="17"/>
        <v>128072243.0051516</v>
      </c>
      <c r="W33" s="106">
        <f t="shared" si="17"/>
        <v>134507739.76079842</v>
      </c>
      <c r="X33" s="106">
        <f t="shared" si="17"/>
        <v>144821402.15641788</v>
      </c>
      <c r="Y33" s="106">
        <f t="shared" si="17"/>
        <v>151256898.9120647</v>
      </c>
      <c r="Z33" s="106">
        <f t="shared" si="17"/>
        <v>146198357.12297142</v>
      </c>
      <c r="AA33" s="107">
        <f>Z33</f>
        <v>146198357.12297142</v>
      </c>
      <c r="AB33" s="106">
        <f>AB7+AB32</f>
        <v>231023322.6378876</v>
      </c>
      <c r="AC33" s="106">
        <f>AC7+AC32</f>
        <v>317644079.19894087</v>
      </c>
      <c r="AD33" s="108">
        <f>AD7+AD32</f>
        <v>368806011.77535534</v>
      </c>
    </row>
  </sheetData>
  <mergeCells count="4">
    <mergeCell ref="O5:Z5"/>
    <mergeCell ref="B5:M5"/>
    <mergeCell ref="N5:N6"/>
    <mergeCell ref="AA5:AA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0025-A276-2742-9289-F87628264633}">
  <dimension ref="A1:AE32"/>
  <sheetViews>
    <sheetView workbookViewId="0">
      <pane xSplit="1" topLeftCell="B1" activePane="topRight" state="frozen"/>
      <selection pane="topRight"/>
    </sheetView>
  </sheetViews>
  <sheetFormatPr defaultColWidth="8.81640625" defaultRowHeight="14.5" x14ac:dyDescent="0.35"/>
  <cols>
    <col min="1" max="1" width="48" bestFit="1" customWidth="1"/>
    <col min="2" max="2" width="9.7265625" style="30" bestFit="1" customWidth="1"/>
    <col min="3" max="3" width="10.1796875" style="30" bestFit="1" customWidth="1"/>
    <col min="4" max="9" width="9.7265625" style="30" bestFit="1" customWidth="1"/>
    <col min="10" max="10" width="11.7265625" style="30" bestFit="1" customWidth="1"/>
    <col min="11" max="11" width="9.7265625" style="30" bestFit="1" customWidth="1"/>
    <col min="12" max="12" width="11.453125" style="30" bestFit="1" customWidth="1"/>
    <col min="13" max="14" width="11.26953125" style="30" bestFit="1" customWidth="1"/>
    <col min="15" max="22" width="11.54296875" style="30" bestFit="1" customWidth="1"/>
    <col min="23" max="23" width="11.7265625" style="30" bestFit="1" customWidth="1"/>
    <col min="24" max="26" width="11.54296875" style="30" bestFit="1" customWidth="1"/>
    <col min="27" max="30" width="12.54296875" style="30" bestFit="1" customWidth="1"/>
    <col min="31" max="31" width="17.1796875" customWidth="1"/>
  </cols>
  <sheetData>
    <row r="1" spans="1:30" x14ac:dyDescent="0.35">
      <c r="A1" s="80" t="s">
        <v>19</v>
      </c>
    </row>
    <row r="2" spans="1:30" x14ac:dyDescent="0.35">
      <c r="A2" s="9" t="s">
        <v>206</v>
      </c>
    </row>
    <row r="3" spans="1:30" x14ac:dyDescent="0.35">
      <c r="A3" s="80" t="s">
        <v>173</v>
      </c>
      <c r="E3" s="204"/>
    </row>
    <row r="4" spans="1:30" x14ac:dyDescent="0.35">
      <c r="A4" s="9"/>
    </row>
    <row r="5" spans="1:30" ht="18.5" x14ac:dyDescent="0.45">
      <c r="B5" s="249" t="s">
        <v>174</v>
      </c>
      <c r="C5" s="249"/>
      <c r="D5" s="249"/>
      <c r="E5" s="249"/>
      <c r="F5" s="249"/>
      <c r="G5" s="249"/>
      <c r="H5" s="249"/>
      <c r="I5" s="249"/>
      <c r="J5" s="249"/>
      <c r="K5" s="249"/>
      <c r="L5" s="249"/>
      <c r="M5" s="249"/>
      <c r="N5" s="245"/>
      <c r="O5" s="250" t="s">
        <v>176</v>
      </c>
      <c r="P5" s="244"/>
      <c r="Q5" s="244"/>
      <c r="R5" s="244"/>
      <c r="S5" s="244"/>
      <c r="T5" s="244"/>
      <c r="U5" s="244"/>
      <c r="V5" s="244"/>
      <c r="W5" s="244"/>
      <c r="X5" s="244"/>
      <c r="Y5" s="244"/>
      <c r="Z5" s="244"/>
      <c r="AA5" s="245"/>
      <c r="AB5" s="201" t="s">
        <v>178</v>
      </c>
      <c r="AC5" s="201" t="s">
        <v>179</v>
      </c>
      <c r="AD5" s="201" t="s">
        <v>180</v>
      </c>
    </row>
    <row r="6" spans="1:30" x14ac:dyDescent="0.35">
      <c r="A6" s="65"/>
      <c r="B6" s="234" t="s">
        <v>49</v>
      </c>
      <c r="C6" s="234" t="s">
        <v>50</v>
      </c>
      <c r="D6" s="234" t="s">
        <v>52</v>
      </c>
      <c r="E6" s="234" t="s">
        <v>54</v>
      </c>
      <c r="F6" s="234" t="s">
        <v>55</v>
      </c>
      <c r="G6" s="234" t="s">
        <v>56</v>
      </c>
      <c r="H6" s="234" t="s">
        <v>57</v>
      </c>
      <c r="I6" s="234" t="s">
        <v>58</v>
      </c>
      <c r="J6" s="234" t="s">
        <v>59</v>
      </c>
      <c r="K6" s="234" t="s">
        <v>60</v>
      </c>
      <c r="L6" s="234" t="s">
        <v>61</v>
      </c>
      <c r="M6" s="234" t="s">
        <v>62</v>
      </c>
      <c r="N6" s="193" t="s">
        <v>207</v>
      </c>
      <c r="O6" s="234" t="s">
        <v>49</v>
      </c>
      <c r="P6" s="234" t="s">
        <v>50</v>
      </c>
      <c r="Q6" s="234" t="s">
        <v>52</v>
      </c>
      <c r="R6" s="234" t="s">
        <v>54</v>
      </c>
      <c r="S6" s="234" t="s">
        <v>55</v>
      </c>
      <c r="T6" s="234" t="s">
        <v>56</v>
      </c>
      <c r="U6" s="234" t="s">
        <v>57</v>
      </c>
      <c r="V6" s="234" t="s">
        <v>58</v>
      </c>
      <c r="W6" s="234" t="s">
        <v>59</v>
      </c>
      <c r="X6" s="234" t="s">
        <v>60</v>
      </c>
      <c r="Y6" s="234" t="s">
        <v>61</v>
      </c>
      <c r="Z6" s="234" t="s">
        <v>62</v>
      </c>
      <c r="AA6" s="193" t="s">
        <v>208</v>
      </c>
      <c r="AB6" s="86"/>
      <c r="AC6" s="86"/>
      <c r="AD6" s="86"/>
    </row>
    <row r="7" spans="1:30" x14ac:dyDescent="0.35">
      <c r="A7" s="9" t="s">
        <v>209</v>
      </c>
      <c r="N7" s="85"/>
      <c r="AA7" s="85"/>
      <c r="AB7" s="85"/>
      <c r="AC7" s="85"/>
      <c r="AD7" s="85"/>
    </row>
    <row r="8" spans="1:30" x14ac:dyDescent="0.35">
      <c r="A8" s="65" t="s">
        <v>210</v>
      </c>
      <c r="B8" s="81" cm="1">
        <f t="array" ref="B8">Nil</f>
        <v>0</v>
      </c>
      <c r="C8" s="81" cm="1">
        <f t="array" ref="C8">Nil</f>
        <v>0</v>
      </c>
      <c r="D8" s="81" cm="1">
        <f t="array" ref="D8">Nil</f>
        <v>0</v>
      </c>
      <c r="E8" s="81" cm="1">
        <f t="array" ref="E8">Nil</f>
        <v>0</v>
      </c>
      <c r="F8" s="81" cm="1">
        <f t="array" ref="F8">Nil</f>
        <v>0</v>
      </c>
      <c r="G8" s="81" cm="1">
        <f t="array" ref="G8">Nil</f>
        <v>0</v>
      </c>
      <c r="H8" s="81" cm="1">
        <f t="array" ref="H8">Nil</f>
        <v>0</v>
      </c>
      <c r="I8" s="81" cm="1">
        <f t="array" ref="I8">Nil</f>
        <v>0</v>
      </c>
      <c r="J8" s="81" cm="1">
        <f t="array" ref="J8">Nil</f>
        <v>0</v>
      </c>
      <c r="K8" s="81" cm="1">
        <f t="array" ref="K8">Nil</f>
        <v>0</v>
      </c>
      <c r="L8" s="81" cm="1">
        <f t="array" ref="L8">Nil</f>
        <v>0</v>
      </c>
      <c r="M8" s="81" cm="1">
        <f t="array" ref="M8">Nil</f>
        <v>0</v>
      </c>
      <c r="N8" s="86">
        <f>SUM(B8:M8)</f>
        <v>0</v>
      </c>
      <c r="O8" s="81" cm="1">
        <f t="array" ref="O8">('Tanker Schedule'!D82/D_i_Y)*Days_Jan</f>
        <v>67324955.50992471</v>
      </c>
      <c r="P8" s="81" cm="1">
        <f t="array" ref="P8">('Tanker Schedule'!D82/D_i_Y)*Days_Feb</f>
        <v>61352580.424366876</v>
      </c>
      <c r="Q8" s="81" cm="1">
        <f t="array" ref="Q8">('Tanker Schedule'!D82/D_i_Y)*Days_Mar</f>
        <v>67324955.50992471</v>
      </c>
      <c r="R8" s="81" cm="1">
        <f t="array" ref="R8">('Tanker Schedule'!D82/D_i_Y)*Days_Apr</f>
        <v>65153182.75154005</v>
      </c>
      <c r="S8" s="81" cm="1">
        <f t="array" ref="S8">('Tanker Schedule'!D82/D_i_Y)*Days_May</f>
        <v>67324955.50992471</v>
      </c>
      <c r="T8" s="81" cm="1">
        <f t="array" ref="T8">('Tanker Schedule'!D82/D_i_Y)*Days_Jun</f>
        <v>65153182.75154005</v>
      </c>
      <c r="U8" s="81" cm="1">
        <f t="array" ref="U8">('Tanker Schedule'!D82/D_i_Y)*Days_Jul</f>
        <v>67324955.50992471</v>
      </c>
      <c r="V8" s="81" cm="1">
        <f t="array" ref="V8">('Tanker Schedule'!D82/D_i_Y)*Days_Aug</f>
        <v>67324955.50992471</v>
      </c>
      <c r="W8" s="81" cm="1">
        <f t="array" ref="W8">('Tanker Schedule'!D82/D_i_Y)*Days_Sept</f>
        <v>65153182.75154005</v>
      </c>
      <c r="X8" s="81" cm="1">
        <f t="array" ref="X8">('Tanker Schedule'!D82/D_i_Y)*Days_Oct</f>
        <v>67324955.50992471</v>
      </c>
      <c r="Y8" s="81" cm="1">
        <f t="array" ref="Y8">('Tanker Schedule'!D82/D_i_Y)*Days_Nov</f>
        <v>65153182.75154005</v>
      </c>
      <c r="Z8" s="81" cm="1">
        <f t="array" ref="Z8">('Tanker Schedule'!D82/D_i_Y)*Days_Dec</f>
        <v>67324955.50992471</v>
      </c>
      <c r="AA8" s="86">
        <f>SUM(O8:Z8)</f>
        <v>793240000.00000024</v>
      </c>
      <c r="AB8" s="86">
        <f>'Tanker Schedule'!D83</f>
        <v>809164292.99999988</v>
      </c>
      <c r="AC8" s="86">
        <f>'Tanker Schedule'!D84</f>
        <v>825408266.18197453</v>
      </c>
      <c r="AD8" s="86">
        <f>'Tanker Schedule'!D85</f>
        <v>841978337.12557757</v>
      </c>
    </row>
    <row r="9" spans="1:30" x14ac:dyDescent="0.35">
      <c r="N9" s="85"/>
      <c r="AA9" s="85"/>
      <c r="AB9" s="85"/>
      <c r="AC9" s="85"/>
      <c r="AD9" s="85"/>
    </row>
    <row r="10" spans="1:30" x14ac:dyDescent="0.35">
      <c r="A10" s="9" t="s">
        <v>211</v>
      </c>
      <c r="N10" s="85"/>
      <c r="AA10" s="85"/>
      <c r="AB10" s="85"/>
      <c r="AD10" s="100"/>
    </row>
    <row r="11" spans="1:30" x14ac:dyDescent="0.35">
      <c r="A11" s="197" t="s">
        <v>192</v>
      </c>
      <c r="N11" s="85"/>
      <c r="AA11" s="85"/>
      <c r="AB11" s="85"/>
      <c r="AD11" s="100"/>
    </row>
    <row r="12" spans="1:30" x14ac:dyDescent="0.35">
      <c r="A12" t="s">
        <v>212</v>
      </c>
      <c r="B12" s="30" cm="1">
        <f t="array" ref="B12">Nil</f>
        <v>0</v>
      </c>
      <c r="C12" s="30" cm="1">
        <f t="array" ref="C12">Nil</f>
        <v>0</v>
      </c>
      <c r="D12" s="30" cm="1">
        <f t="array" ref="D12">Nil</f>
        <v>0</v>
      </c>
      <c r="E12" s="30" cm="1">
        <f t="array" ref="E12">Nil</f>
        <v>0</v>
      </c>
      <c r="F12" s="30" cm="1">
        <f t="array" ref="F12">Nil</f>
        <v>0</v>
      </c>
      <c r="G12" s="30" cm="1">
        <f t="array" ref="G12">Nil</f>
        <v>0</v>
      </c>
      <c r="H12" s="30" cm="1">
        <f t="array" ref="H12">Nil</f>
        <v>0</v>
      </c>
      <c r="I12" s="30" cm="1">
        <f t="array" ref="I12">Nil</f>
        <v>0</v>
      </c>
      <c r="J12" s="30" cm="1">
        <f t="array" ref="J12">Nil</f>
        <v>0</v>
      </c>
      <c r="K12" s="30" cm="1">
        <f t="array" ref="K12">Nil</f>
        <v>0</v>
      </c>
      <c r="L12" s="30" cm="1">
        <f t="array" ref="L12">Nil</f>
        <v>0</v>
      </c>
      <c r="M12" s="30" cm="1">
        <f t="array" ref="M12">Nil</f>
        <v>0</v>
      </c>
      <c r="N12" s="85">
        <f t="shared" ref="N12:N21" si="0">SUM(B12:M12)</f>
        <v>0</v>
      </c>
      <c r="O12" s="30" cm="1">
        <f t="array" ref="O12">'Tanker Schedule'!I82/D_i_Y*Days_Jan</f>
        <v>52898179.329226561</v>
      </c>
      <c r="P12" s="30" cm="1">
        <f t="array" ref="P12">'Tanker Schedule'!I82/D_i_Y*Days_Feb</f>
        <v>48205598.904859684</v>
      </c>
      <c r="Q12" s="30" cm="1">
        <f t="array" ref="Q12">'Tanker Schedule'!I82/D_i_Y*Days_Mar</f>
        <v>52898179.329226561</v>
      </c>
      <c r="R12" s="30" cm="1">
        <f t="array" ref="R12">'Tanker Schedule'!I82/D_i_Y*Days_Apr</f>
        <v>51191786.447638609</v>
      </c>
      <c r="S12" s="30" cm="1">
        <f t="array" ref="S12">'Tanker Schedule'!I82/D_i_Y*Days_May</f>
        <v>52898179.329226561</v>
      </c>
      <c r="T12" s="30" cm="1">
        <f t="array" ref="T12">'Tanker Schedule'!I82/D_i_Y*Days_Jun</f>
        <v>51191786.447638609</v>
      </c>
      <c r="U12" s="30" cm="1">
        <f t="array" ref="U12">'Tanker Schedule'!I82/D_i_Y*Days_Jul</f>
        <v>52898179.329226561</v>
      </c>
      <c r="V12" s="30" cm="1">
        <f t="array" ref="V12">'Tanker Schedule'!I82/D_i_Y*Days_Aug</f>
        <v>52898179.329226561</v>
      </c>
      <c r="W12" s="30" cm="1">
        <f t="array" ref="W12">'Tanker Schedule'!I82/D_i_Y*Days_Sept</f>
        <v>51191786.447638609</v>
      </c>
      <c r="X12" s="30" cm="1">
        <f t="array" ref="X12">'Tanker Schedule'!I82/D_i_Y*Days_Oct</f>
        <v>52898179.329226561</v>
      </c>
      <c r="Y12" s="30" cm="1">
        <f t="array" ref="Y12">'Tanker Schedule'!I82/D_i_Y*Days_Nov</f>
        <v>51191786.447638609</v>
      </c>
      <c r="Z12" s="30" cm="1">
        <f t="array" ref="Z12">'Tanker Schedule'!I82/D_i_Y*Days_Dec</f>
        <v>52898179.329226561</v>
      </c>
      <c r="AA12" s="85">
        <f t="shared" ref="AA12:AA21" si="1">SUM(O12:Z12)</f>
        <v>623260000.00000012</v>
      </c>
      <c r="AB12" s="85">
        <f>'Tanker Schedule'!I83</f>
        <v>635771944.49999988</v>
      </c>
      <c r="AC12" s="30">
        <f>'Tanker Schedule'!I84</f>
        <v>648535066.28583717</v>
      </c>
      <c r="AD12" s="100">
        <f>'Tanker Schedule'!I85</f>
        <v>661554407.74152517</v>
      </c>
    </row>
    <row r="13" spans="1:30" x14ac:dyDescent="0.35">
      <c r="A13" t="s">
        <v>188</v>
      </c>
      <c r="B13" s="30" cm="1">
        <f t="array" ref="B13">Nil</f>
        <v>0</v>
      </c>
      <c r="C13" s="30" cm="1">
        <f t="array" ref="C13">Nil</f>
        <v>0</v>
      </c>
      <c r="D13" s="30" cm="1">
        <f t="array" ref="D13">Nil</f>
        <v>0</v>
      </c>
      <c r="E13" s="30" cm="1">
        <f t="array" ref="E13">Nil</f>
        <v>0</v>
      </c>
      <c r="F13" s="30" cm="1">
        <f t="array" ref="F13">Nil</f>
        <v>0</v>
      </c>
      <c r="G13" s="30" cm="1">
        <f t="array" ref="G13">Nil</f>
        <v>0</v>
      </c>
      <c r="H13" s="30" cm="1">
        <f t="array" ref="H13">Nil</f>
        <v>0</v>
      </c>
      <c r="I13" s="30" cm="1">
        <f t="array" ref="I13">Nil</f>
        <v>0</v>
      </c>
      <c r="J13" s="30" cm="1">
        <f t="array" ref="J13">Nil</f>
        <v>0</v>
      </c>
      <c r="K13" s="30" cm="1">
        <f t="array" ref="K13">Nil</f>
        <v>0</v>
      </c>
      <c r="L13" s="30" cm="1">
        <f t="array" ref="L13">Nil</f>
        <v>0</v>
      </c>
      <c r="M13" s="30" cm="1">
        <f t="array" ref="M13">Nil</f>
        <v>0</v>
      </c>
      <c r="N13" s="85">
        <f t="shared" si="0"/>
        <v>0</v>
      </c>
      <c r="O13" s="30">
        <f>'Tanker Schedule'!$D$116/M_i_Y</f>
        <v>1998333.3333333333</v>
      </c>
      <c r="P13" s="30">
        <f>'Tanker Schedule'!$D$116/M_i_Y</f>
        <v>1998333.3333333333</v>
      </c>
      <c r="Q13" s="30">
        <f>'Tanker Schedule'!$D$116/M_i_Y</f>
        <v>1998333.3333333333</v>
      </c>
      <c r="R13" s="30">
        <f>'Tanker Schedule'!$D$116/M_i_Y</f>
        <v>1998333.3333333333</v>
      </c>
      <c r="S13" s="30">
        <f>'Tanker Schedule'!$D$116/M_i_Y</f>
        <v>1998333.3333333333</v>
      </c>
      <c r="T13" s="30">
        <f>'Tanker Schedule'!$D$116/M_i_Y</f>
        <v>1998333.3333333333</v>
      </c>
      <c r="U13" s="30">
        <f>'Tanker Schedule'!$D$116/M_i_Y</f>
        <v>1998333.3333333333</v>
      </c>
      <c r="V13" s="30">
        <f>'Tanker Schedule'!$D$116/M_i_Y</f>
        <v>1998333.3333333333</v>
      </c>
      <c r="W13" s="30">
        <f>'Tanker Schedule'!$D$116/M_i_Y</f>
        <v>1998333.3333333333</v>
      </c>
      <c r="X13" s="30">
        <f>'Tanker Schedule'!$D$116/M_i_Y</f>
        <v>1998333.3333333333</v>
      </c>
      <c r="Y13" s="30">
        <f>'Tanker Schedule'!$D$116/M_i_Y</f>
        <v>1998333.3333333333</v>
      </c>
      <c r="Z13" s="30">
        <f>'Tanker Schedule'!$D$116/M_i_Y</f>
        <v>1998333.3333333333</v>
      </c>
      <c r="AA13" s="85">
        <f t="shared" si="1"/>
        <v>23979999.999999996</v>
      </c>
      <c r="AB13" s="85">
        <f>'Tanker Schedule'!D117</f>
        <v>24562999.999999996</v>
      </c>
      <c r="AC13" s="30">
        <f>'Tanker Schedule'!D118</f>
        <v>25158094.499999993</v>
      </c>
      <c r="AD13" s="100">
        <f>'Tanker Schedule'!D119</f>
        <v>25535465.917499989</v>
      </c>
    </row>
    <row r="14" spans="1:30" x14ac:dyDescent="0.35">
      <c r="A14" t="s">
        <v>213</v>
      </c>
      <c r="B14" s="30" cm="1">
        <f t="array" ref="B14">Nil</f>
        <v>0</v>
      </c>
      <c r="C14" s="30" cm="1">
        <f t="array" ref="C14">Nil</f>
        <v>0</v>
      </c>
      <c r="D14" s="30" cm="1">
        <f t="array" ref="D14">Nil</f>
        <v>0</v>
      </c>
      <c r="E14" s="30" cm="1">
        <f t="array" ref="E14">Nil</f>
        <v>0</v>
      </c>
      <c r="F14" s="30" cm="1">
        <f t="array" ref="F14">Nil</f>
        <v>0</v>
      </c>
      <c r="G14" s="30" cm="1">
        <f t="array" ref="G14">Nil</f>
        <v>0</v>
      </c>
      <c r="H14" s="30" cm="1">
        <f t="array" ref="H14">Nil</f>
        <v>0</v>
      </c>
      <c r="I14" s="30" cm="1">
        <f t="array" ref="I14">Nil</f>
        <v>0</v>
      </c>
      <c r="J14" s="30" cm="1">
        <f t="array" ref="J14">Nil</f>
        <v>0</v>
      </c>
      <c r="K14" s="30" cm="1">
        <f t="array" ref="K14">Nil</f>
        <v>0</v>
      </c>
      <c r="L14" s="30" cm="1">
        <f t="array" ref="L14">Nil</f>
        <v>0</v>
      </c>
      <c r="M14" s="30" cm="1">
        <f t="array" ref="M14">Nil</f>
        <v>0</v>
      </c>
      <c r="N14" s="85">
        <f t="shared" si="0"/>
        <v>0</v>
      </c>
      <c r="O14" s="30">
        <f>'Tanker Schedule'!$I$116/M_i_Y</f>
        <v>82840</v>
      </c>
      <c r="P14" s="30">
        <f>'Tanker Schedule'!$I$116/M_i_Y</f>
        <v>82840</v>
      </c>
      <c r="Q14" s="30">
        <f>'Tanker Schedule'!$I$116/M_i_Y</f>
        <v>82840</v>
      </c>
      <c r="R14" s="30">
        <f>'Tanker Schedule'!$I$116/M_i_Y</f>
        <v>82840</v>
      </c>
      <c r="S14" s="30">
        <f>'Tanker Schedule'!$I$116/M_i_Y</f>
        <v>82840</v>
      </c>
      <c r="T14" s="30">
        <f>'Tanker Schedule'!$I$116/M_i_Y</f>
        <v>82840</v>
      </c>
      <c r="U14" s="30">
        <f>'Tanker Schedule'!$I$116/M_i_Y</f>
        <v>82840</v>
      </c>
      <c r="V14" s="30">
        <f>'Tanker Schedule'!$I$116/M_i_Y</f>
        <v>82840</v>
      </c>
      <c r="W14" s="30">
        <f>'Tanker Schedule'!$I$116/M_i_Y</f>
        <v>82840</v>
      </c>
      <c r="X14" s="30">
        <f>'Tanker Schedule'!$I$116/M_i_Y</f>
        <v>82840</v>
      </c>
      <c r="Y14" s="30">
        <f>'Tanker Schedule'!$I$116/M_i_Y</f>
        <v>82840</v>
      </c>
      <c r="Z14" s="30">
        <f>'Tanker Schedule'!$I$116/M_i_Y</f>
        <v>82840</v>
      </c>
      <c r="AA14" s="85">
        <f t="shared" si="1"/>
        <v>994080</v>
      </c>
      <c r="AB14" s="85">
        <f>'Tanker Schedule'!I117</f>
        <v>1018247.9999999999</v>
      </c>
      <c r="AC14" s="30">
        <f>'Tanker Schedule'!I118</f>
        <v>1042917.3719999999</v>
      </c>
      <c r="AD14" s="100">
        <f>'Tanker Schedule'!I119</f>
        <v>1058561.1325799995</v>
      </c>
    </row>
    <row r="15" spans="1:30" x14ac:dyDescent="0.35">
      <c r="A15" t="s">
        <v>214</v>
      </c>
      <c r="B15" s="30" cm="1">
        <f t="array" ref="B15">Nil</f>
        <v>0</v>
      </c>
      <c r="C15" s="30" cm="1">
        <f t="array" ref="C15">Nil</f>
        <v>0</v>
      </c>
      <c r="D15" s="30" cm="1">
        <f t="array" ref="D15">Nil</f>
        <v>0</v>
      </c>
      <c r="E15" s="30" cm="1">
        <f t="array" ref="E15">Nil</f>
        <v>0</v>
      </c>
      <c r="F15" s="30" cm="1">
        <f t="array" ref="F15">Nil</f>
        <v>0</v>
      </c>
      <c r="G15" s="30" cm="1">
        <f t="array" ref="G15">Nil</f>
        <v>0</v>
      </c>
      <c r="H15" s="30" cm="1">
        <f t="array" ref="H15">Nil</f>
        <v>0</v>
      </c>
      <c r="I15" s="30" cm="1">
        <f t="array" ref="I15">Nil</f>
        <v>0</v>
      </c>
      <c r="J15" s="30" cm="1">
        <f t="array" ref="J15">Nil</f>
        <v>0</v>
      </c>
      <c r="K15" s="30" cm="1">
        <f t="array" ref="K15">Nil</f>
        <v>0</v>
      </c>
      <c r="L15" s="30" cm="1">
        <f t="array" ref="L15">Nil</f>
        <v>0</v>
      </c>
      <c r="M15" s="30" cm="1">
        <f t="array" ref="M15">Nil</f>
        <v>0</v>
      </c>
      <c r="N15" s="85">
        <f t="shared" si="0"/>
        <v>0</v>
      </c>
      <c r="O15" s="30">
        <f>'Tanker Schedule'!$D$150/M_i_Y</f>
        <v>363333.33333333331</v>
      </c>
      <c r="P15" s="30">
        <f>'Tanker Schedule'!$D$150/M_i_Y</f>
        <v>363333.33333333331</v>
      </c>
      <c r="Q15" s="30">
        <f>'Tanker Schedule'!$D$150/M_i_Y</f>
        <v>363333.33333333331</v>
      </c>
      <c r="R15" s="30">
        <f>'Tanker Schedule'!$D$150/M_i_Y</f>
        <v>363333.33333333331</v>
      </c>
      <c r="S15" s="30">
        <f>'Tanker Schedule'!$D$150/M_i_Y</f>
        <v>363333.33333333331</v>
      </c>
      <c r="T15" s="30">
        <f>'Tanker Schedule'!$D$150/M_i_Y</f>
        <v>363333.33333333331</v>
      </c>
      <c r="U15" s="30">
        <f>'Tanker Schedule'!$D$150/M_i_Y</f>
        <v>363333.33333333331</v>
      </c>
      <c r="V15" s="30">
        <f>'Tanker Schedule'!$D$150/M_i_Y</f>
        <v>363333.33333333331</v>
      </c>
      <c r="W15" s="30">
        <f>'Tanker Schedule'!$D$150/M_i_Y</f>
        <v>363333.33333333331</v>
      </c>
      <c r="X15" s="30">
        <f>'Tanker Schedule'!$D$150/M_i_Y</f>
        <v>363333.33333333331</v>
      </c>
      <c r="Y15" s="30">
        <f>'Tanker Schedule'!$D$150/M_i_Y</f>
        <v>363333.33333333331</v>
      </c>
      <c r="Z15" s="30">
        <f>'Tanker Schedule'!$D$150/M_i_Y</f>
        <v>363333.33333333331</v>
      </c>
      <c r="AA15" s="85">
        <f t="shared" si="1"/>
        <v>4360000.0000000009</v>
      </c>
      <c r="AB15" s="85">
        <f>'Tanker Schedule'!D151</f>
        <v>4465999.9999999991</v>
      </c>
      <c r="AC15" s="30">
        <f>'Tanker Schedule'!D152</f>
        <v>4574198.9999999981</v>
      </c>
      <c r="AD15" s="100">
        <f>'Tanker Schedule'!D153</f>
        <v>4642811.9849999985</v>
      </c>
    </row>
    <row r="16" spans="1:30" x14ac:dyDescent="0.35">
      <c r="A16" t="s">
        <v>215</v>
      </c>
      <c r="B16" s="30" cm="1">
        <f t="array" ref="B16">Nil</f>
        <v>0</v>
      </c>
      <c r="C16" s="30" cm="1">
        <f t="array" ref="C16">Nil</f>
        <v>0</v>
      </c>
      <c r="D16" s="30" cm="1">
        <f t="array" ref="D16">Nil</f>
        <v>0</v>
      </c>
      <c r="E16" s="30" cm="1">
        <f t="array" ref="E16">Nil</f>
        <v>0</v>
      </c>
      <c r="F16" s="30" cm="1">
        <f t="array" ref="F16">Nil</f>
        <v>0</v>
      </c>
      <c r="G16" s="30" cm="1">
        <f t="array" ref="G16">Nil</f>
        <v>0</v>
      </c>
      <c r="H16" s="30" cm="1">
        <f t="array" ref="H16">Nil</f>
        <v>0</v>
      </c>
      <c r="I16" s="30" cm="1">
        <f t="array" ref="I16">Nil</f>
        <v>0</v>
      </c>
      <c r="J16" s="30" cm="1">
        <f t="array" ref="J16">Nil</f>
        <v>0</v>
      </c>
      <c r="K16" s="30" cm="1">
        <f t="array" ref="K16">Nil</f>
        <v>0</v>
      </c>
      <c r="L16" s="30" cm="1">
        <f t="array" ref="L16">Nil</f>
        <v>0</v>
      </c>
      <c r="M16" s="30" cm="1">
        <f t="array" ref="M16">Nil</f>
        <v>0</v>
      </c>
      <c r="N16" s="85">
        <f t="shared" si="0"/>
        <v>0</v>
      </c>
      <c r="O16" s="30">
        <f t="shared" ref="O16:Z16" si="2">Insurance_Tanker/M_i_Y</f>
        <v>150000</v>
      </c>
      <c r="P16" s="30">
        <f t="shared" si="2"/>
        <v>150000</v>
      </c>
      <c r="Q16" s="30">
        <f t="shared" si="2"/>
        <v>150000</v>
      </c>
      <c r="R16" s="30">
        <f t="shared" si="2"/>
        <v>150000</v>
      </c>
      <c r="S16" s="30">
        <f t="shared" si="2"/>
        <v>150000</v>
      </c>
      <c r="T16" s="30">
        <f t="shared" si="2"/>
        <v>150000</v>
      </c>
      <c r="U16" s="30">
        <f t="shared" si="2"/>
        <v>150000</v>
      </c>
      <c r="V16" s="30">
        <f t="shared" si="2"/>
        <v>150000</v>
      </c>
      <c r="W16" s="30">
        <f t="shared" si="2"/>
        <v>150000</v>
      </c>
      <c r="X16" s="30">
        <f t="shared" si="2"/>
        <v>150000</v>
      </c>
      <c r="Y16" s="30">
        <f t="shared" si="2"/>
        <v>150000</v>
      </c>
      <c r="Z16" s="30">
        <f t="shared" si="2"/>
        <v>150000</v>
      </c>
      <c r="AA16" s="85">
        <f t="shared" si="1"/>
        <v>1800000</v>
      </c>
      <c r="AB16" s="85">
        <f>AA16*(Increment+Inflation_Annual)</f>
        <v>1826999.9999999998</v>
      </c>
      <c r="AC16" s="30">
        <f>AB16*(Increment+Inflation_Annual)</f>
        <v>1854404.9999999995</v>
      </c>
      <c r="AD16" s="100">
        <f>AC16*(Increment+Inflation_Annual)</f>
        <v>1882221.0749999993</v>
      </c>
    </row>
    <row r="17" spans="1:31" x14ac:dyDescent="0.35">
      <c r="A17" t="s">
        <v>216</v>
      </c>
      <c r="B17" s="30" cm="1">
        <f t="array" ref="B17">Nil</f>
        <v>0</v>
      </c>
      <c r="C17" s="30" cm="1">
        <f t="array" ref="C17">Nil</f>
        <v>0</v>
      </c>
      <c r="D17" s="30" cm="1">
        <f t="array" ref="D17">Nil</f>
        <v>0</v>
      </c>
      <c r="E17" s="30" cm="1">
        <f t="array" ref="E17">Nil</f>
        <v>0</v>
      </c>
      <c r="F17" s="30" cm="1">
        <f t="array" ref="F17">Nil</f>
        <v>0</v>
      </c>
      <c r="G17" s="30" cm="1">
        <f t="array" ref="G17">Nil</f>
        <v>0</v>
      </c>
      <c r="H17" s="30" cm="1">
        <f t="array" ref="H17">Nil</f>
        <v>0</v>
      </c>
      <c r="I17" s="30" cm="1">
        <f t="array" ref="I17">Nil</f>
        <v>0</v>
      </c>
      <c r="J17" s="30" cm="1">
        <f t="array" ref="J17">Nil</f>
        <v>0</v>
      </c>
      <c r="K17" s="30" cm="1">
        <f t="array" ref="K17">Nil</f>
        <v>0</v>
      </c>
      <c r="L17" s="30" cm="1">
        <f t="array" ref="L17">Nil</f>
        <v>0</v>
      </c>
      <c r="M17" s="30" cm="1">
        <f t="array" ref="M17">Nil</f>
        <v>0</v>
      </c>
      <c r="N17" s="85">
        <f t="shared" si="0"/>
        <v>0</v>
      </c>
      <c r="O17" s="30">
        <f>'Tanker Schedule'!$H$48</f>
        <v>237938.596491228</v>
      </c>
      <c r="P17" s="30">
        <f>'Tanker Schedule'!$H$48</f>
        <v>237938.596491228</v>
      </c>
      <c r="Q17" s="30">
        <f>'Tanker Schedule'!$H$48</f>
        <v>237938.596491228</v>
      </c>
      <c r="R17" s="30">
        <f>'Tanker Schedule'!$H$48</f>
        <v>237938.596491228</v>
      </c>
      <c r="S17" s="30">
        <f>'Tanker Schedule'!$H$48</f>
        <v>237938.596491228</v>
      </c>
      <c r="T17" s="30">
        <f>'Tanker Schedule'!$H$48</f>
        <v>237938.596491228</v>
      </c>
      <c r="U17" s="30">
        <f>'Tanker Schedule'!$H$48</f>
        <v>237938.596491228</v>
      </c>
      <c r="V17" s="30">
        <f>'Tanker Schedule'!$H$48</f>
        <v>237938.596491228</v>
      </c>
      <c r="W17" s="30">
        <f>'Tanker Schedule'!$H$48</f>
        <v>237938.596491228</v>
      </c>
      <c r="X17" s="30">
        <f>'Tanker Schedule'!$H$48</f>
        <v>237938.596491228</v>
      </c>
      <c r="Y17" s="30">
        <f>'Tanker Schedule'!$H$48</f>
        <v>237938.596491228</v>
      </c>
      <c r="Z17" s="30">
        <f>'Tanker Schedule'!$H$48</f>
        <v>237938.596491228</v>
      </c>
      <c r="AA17" s="85">
        <f t="shared" si="1"/>
        <v>2855263.1578947357</v>
      </c>
      <c r="AB17" s="85">
        <f>'Tanker Schedule'!F49</f>
        <v>2898092.1052631568</v>
      </c>
      <c r="AC17" s="30">
        <f>'Tanker Schedule'!F50</f>
        <v>2941563.4868421042</v>
      </c>
      <c r="AD17" s="100">
        <f>'Tanker Schedule'!F51</f>
        <v>2985686.9391447357</v>
      </c>
      <c r="AE17" s="30"/>
    </row>
    <row r="18" spans="1:31" x14ac:dyDescent="0.35">
      <c r="A18" s="88" t="s">
        <v>217</v>
      </c>
      <c r="B18" s="30" cm="1">
        <f t="array" ref="B18">Nil</f>
        <v>0</v>
      </c>
      <c r="C18" s="30" cm="1">
        <f t="array" ref="C18">Nil</f>
        <v>0</v>
      </c>
      <c r="D18" s="30" cm="1">
        <f t="array" ref="D18">Nil</f>
        <v>0</v>
      </c>
      <c r="E18" s="30" cm="1">
        <f t="array" ref="E18">Nil</f>
        <v>0</v>
      </c>
      <c r="F18" s="30" cm="1">
        <f t="array" ref="F18">Nil</f>
        <v>0</v>
      </c>
      <c r="G18" s="30" cm="1">
        <f t="array" ref="G18">Nil</f>
        <v>0</v>
      </c>
      <c r="H18" s="30" cm="1">
        <f t="array" ref="H18">Nil</f>
        <v>0</v>
      </c>
      <c r="I18" s="30" cm="1">
        <f t="array" ref="I18">Nil</f>
        <v>0</v>
      </c>
      <c r="J18" s="30" cm="1">
        <f t="array" ref="J18">Nil</f>
        <v>0</v>
      </c>
      <c r="K18" s="30" cm="1">
        <f t="array" ref="K18">Nil</f>
        <v>0</v>
      </c>
      <c r="L18" s="30" cm="1">
        <f t="array" ref="L18">Nil</f>
        <v>0</v>
      </c>
      <c r="M18" s="30" cm="1">
        <f t="array" ref="M18">Nil</f>
        <v>0</v>
      </c>
      <c r="N18" s="85">
        <f t="shared" si="0"/>
        <v>0</v>
      </c>
      <c r="O18" s="30">
        <f>'Tanker Schedule'!$I$48</f>
        <v>53728.070175438595</v>
      </c>
      <c r="P18" s="30">
        <f>'Tanker Schedule'!$I$48</f>
        <v>53728.070175438595</v>
      </c>
      <c r="Q18" s="30">
        <f>'Tanker Schedule'!$I$48</f>
        <v>53728.070175438595</v>
      </c>
      <c r="R18" s="30">
        <f>'Tanker Schedule'!$I$48</f>
        <v>53728.070175438595</v>
      </c>
      <c r="S18" s="30">
        <f>'Tanker Schedule'!$I$48</f>
        <v>53728.070175438595</v>
      </c>
      <c r="T18" s="30">
        <f>'Tanker Schedule'!$I$48</f>
        <v>53728.070175438595</v>
      </c>
      <c r="U18" s="30">
        <f>'Tanker Schedule'!$I$48</f>
        <v>53728.070175438595</v>
      </c>
      <c r="V18" s="30">
        <f>'Tanker Schedule'!$I$48</f>
        <v>53728.070175438595</v>
      </c>
      <c r="W18" s="30">
        <f>'Tanker Schedule'!$I$48</f>
        <v>53728.070175438595</v>
      </c>
      <c r="X18" s="30">
        <f>'Tanker Schedule'!$I$48</f>
        <v>53728.070175438595</v>
      </c>
      <c r="Y18" s="30">
        <f>'Tanker Schedule'!$I$48</f>
        <v>53728.070175438595</v>
      </c>
      <c r="Z18" s="30">
        <f>'Tanker Schedule'!$I$48</f>
        <v>53728.070175438595</v>
      </c>
      <c r="AA18" s="85">
        <f>SUM(O18:Z18)</f>
        <v>644736.84210526315</v>
      </c>
      <c r="AB18" s="85">
        <f>'Tanker Schedule'!G49</f>
        <v>654407.89473684202</v>
      </c>
      <c r="AC18" s="30">
        <f>'Tanker Schedule'!G50</f>
        <v>664224.0131578946</v>
      </c>
      <c r="AD18" s="100">
        <f>'Tanker Schedule'!G51</f>
        <v>674187.37335526291</v>
      </c>
    </row>
    <row r="19" spans="1:31" x14ac:dyDescent="0.35">
      <c r="A19" t="s">
        <v>218</v>
      </c>
      <c r="B19" s="30" cm="1">
        <f t="array" ref="B19">Nil</f>
        <v>0</v>
      </c>
      <c r="C19" s="30" cm="1">
        <f t="array" ref="C19">Nil</f>
        <v>0</v>
      </c>
      <c r="D19" s="30" cm="1">
        <f t="array" ref="D19">Nil</f>
        <v>0</v>
      </c>
      <c r="E19" s="30" cm="1">
        <f t="array" ref="E19">Nil</f>
        <v>0</v>
      </c>
      <c r="F19" s="30" cm="1">
        <f t="array" ref="F19">Nil</f>
        <v>0</v>
      </c>
      <c r="G19" s="30" cm="1">
        <f t="array" ref="G19">Nil</f>
        <v>0</v>
      </c>
      <c r="H19" s="30" cm="1">
        <f t="array" ref="H19">Nil</f>
        <v>0</v>
      </c>
      <c r="I19" s="30" cm="1">
        <f t="array" ref="I19">Nil</f>
        <v>0</v>
      </c>
      <c r="J19" s="30" cm="1">
        <f t="array" ref="J19">Nil</f>
        <v>0</v>
      </c>
      <c r="K19" s="30" cm="1">
        <f t="array" ref="K19">Nil</f>
        <v>0</v>
      </c>
      <c r="L19" s="30" cm="1">
        <f t="array" ref="L19">Nil</f>
        <v>0</v>
      </c>
      <c r="M19" s="30" cm="1">
        <f t="array" ref="M19">Nil</f>
        <v>0</v>
      </c>
      <c r="N19" s="85">
        <f t="shared" si="0"/>
        <v>0</v>
      </c>
      <c r="O19" s="30">
        <f t="shared" ref="O19:Z19" si="3">General_Tanker/M_i_Y</f>
        <v>166666.66666666666</v>
      </c>
      <c r="P19" s="30">
        <f t="shared" si="3"/>
        <v>166666.66666666666</v>
      </c>
      <c r="Q19" s="30">
        <f t="shared" si="3"/>
        <v>166666.66666666666</v>
      </c>
      <c r="R19" s="30">
        <f t="shared" si="3"/>
        <v>166666.66666666666</v>
      </c>
      <c r="S19" s="30">
        <f t="shared" si="3"/>
        <v>166666.66666666666</v>
      </c>
      <c r="T19" s="30">
        <f t="shared" si="3"/>
        <v>166666.66666666666</v>
      </c>
      <c r="U19" s="30">
        <f t="shared" si="3"/>
        <v>166666.66666666666</v>
      </c>
      <c r="V19" s="30">
        <f t="shared" si="3"/>
        <v>166666.66666666666</v>
      </c>
      <c r="W19" s="30">
        <f t="shared" si="3"/>
        <v>166666.66666666666</v>
      </c>
      <c r="X19" s="30">
        <f t="shared" si="3"/>
        <v>166666.66666666666</v>
      </c>
      <c r="Y19" s="30">
        <f t="shared" si="3"/>
        <v>166666.66666666666</v>
      </c>
      <c r="Z19" s="30">
        <f t="shared" si="3"/>
        <v>166666.66666666666</v>
      </c>
      <c r="AA19" s="85">
        <f t="shared" si="1"/>
        <v>2000000.0000000002</v>
      </c>
      <c r="AB19" s="85">
        <f t="shared" ref="AB19:AD20" si="4">AA19*(Increment+Inflation_Annual)</f>
        <v>2030000</v>
      </c>
      <c r="AC19" s="30">
        <f t="shared" si="4"/>
        <v>2060449.9999999998</v>
      </c>
      <c r="AD19" s="100">
        <f t="shared" si="4"/>
        <v>2091356.7499999995</v>
      </c>
    </row>
    <row r="20" spans="1:31" x14ac:dyDescent="0.35">
      <c r="A20" t="s">
        <v>219</v>
      </c>
      <c r="B20" s="30" cm="1">
        <f t="array" ref="B20">Nil</f>
        <v>0</v>
      </c>
      <c r="C20" s="30" cm="1">
        <f t="array" ref="C20">Nil</f>
        <v>0</v>
      </c>
      <c r="D20" s="30" cm="1">
        <f t="array" ref="D20">Nil</f>
        <v>0</v>
      </c>
      <c r="E20" s="30" cm="1">
        <f t="array" ref="E20">Nil</f>
        <v>0</v>
      </c>
      <c r="F20" s="30" cm="1">
        <f t="array" ref="F20">Nil</f>
        <v>0</v>
      </c>
      <c r="G20" s="30" cm="1">
        <f t="array" ref="G20">Nil</f>
        <v>0</v>
      </c>
      <c r="H20" s="30" cm="1">
        <f t="array" ref="H20">Nil</f>
        <v>0</v>
      </c>
      <c r="I20" s="30" cm="1">
        <f t="array" ref="I20">Nil</f>
        <v>0</v>
      </c>
      <c r="J20" s="30" cm="1">
        <f t="array" ref="J20">Nil</f>
        <v>0</v>
      </c>
      <c r="K20" s="30" cm="1">
        <f t="array" ref="K20">Nil</f>
        <v>0</v>
      </c>
      <c r="L20" s="30" cm="1">
        <f t="array" ref="L20">Nil</f>
        <v>0</v>
      </c>
      <c r="M20" s="30" cm="1">
        <f t="array" ref="M20">Nil</f>
        <v>0</v>
      </c>
      <c r="N20" s="85">
        <f t="shared" si="0"/>
        <v>0</v>
      </c>
      <c r="O20" s="30">
        <f t="shared" ref="O20:Z20" si="5">Stores_Spares_Lube/M_i_Y</f>
        <v>166666.66666666666</v>
      </c>
      <c r="P20" s="30">
        <f t="shared" si="5"/>
        <v>166666.66666666666</v>
      </c>
      <c r="Q20" s="30">
        <f t="shared" si="5"/>
        <v>166666.66666666666</v>
      </c>
      <c r="R20" s="30">
        <f t="shared" si="5"/>
        <v>166666.66666666666</v>
      </c>
      <c r="S20" s="30">
        <f t="shared" si="5"/>
        <v>166666.66666666666</v>
      </c>
      <c r="T20" s="30">
        <f t="shared" si="5"/>
        <v>166666.66666666666</v>
      </c>
      <c r="U20" s="30">
        <f t="shared" si="5"/>
        <v>166666.66666666666</v>
      </c>
      <c r="V20" s="30">
        <f t="shared" si="5"/>
        <v>166666.66666666666</v>
      </c>
      <c r="W20" s="30">
        <f t="shared" si="5"/>
        <v>166666.66666666666</v>
      </c>
      <c r="X20" s="30">
        <f t="shared" si="5"/>
        <v>166666.66666666666</v>
      </c>
      <c r="Y20" s="30">
        <f t="shared" si="5"/>
        <v>166666.66666666666</v>
      </c>
      <c r="Z20" s="30">
        <f t="shared" si="5"/>
        <v>166666.66666666666</v>
      </c>
      <c r="AA20" s="85">
        <f t="shared" si="1"/>
        <v>2000000.0000000002</v>
      </c>
      <c r="AB20" s="85">
        <f t="shared" si="4"/>
        <v>2030000</v>
      </c>
      <c r="AC20" s="30">
        <f t="shared" si="4"/>
        <v>2060449.9999999998</v>
      </c>
      <c r="AD20" s="100">
        <f t="shared" si="4"/>
        <v>2091356.7499999995</v>
      </c>
    </row>
    <row r="21" spans="1:31" x14ac:dyDescent="0.35">
      <c r="A21" t="s">
        <v>220</v>
      </c>
      <c r="B21" s="30" cm="1">
        <f t="array" ref="B21">Nil</f>
        <v>0</v>
      </c>
      <c r="C21" s="30" cm="1">
        <f t="array" ref="C21">Nil</f>
        <v>0</v>
      </c>
      <c r="D21" s="30" cm="1">
        <f t="array" ref="D21">Nil</f>
        <v>0</v>
      </c>
      <c r="E21" s="30" cm="1">
        <f t="array" ref="E21">Nil</f>
        <v>0</v>
      </c>
      <c r="F21" s="30" cm="1">
        <f t="array" ref="F21">Nil</f>
        <v>0</v>
      </c>
      <c r="G21" s="30" cm="1">
        <f t="array" ref="G21">Nil</f>
        <v>0</v>
      </c>
      <c r="H21" s="30" cm="1">
        <f t="array" ref="H21">Nil</f>
        <v>0</v>
      </c>
      <c r="I21" s="30" cm="1">
        <f t="array" ref="I21">Nil</f>
        <v>0</v>
      </c>
      <c r="J21" s="30" cm="1">
        <f t="array" ref="J21">Nil</f>
        <v>0</v>
      </c>
      <c r="K21" s="30" cm="1">
        <f t="array" ref="K21">Nil</f>
        <v>0</v>
      </c>
      <c r="L21" s="30" cm="1">
        <f t="array" ref="L21">Nil</f>
        <v>0</v>
      </c>
      <c r="M21" s="30" cm="1">
        <f t="array" ref="M21">Nil</f>
        <v>0</v>
      </c>
      <c r="N21" s="85">
        <f t="shared" si="0"/>
        <v>0</v>
      </c>
      <c r="O21" s="30">
        <f t="shared" ref="O21:Z21" si="6">Carbon_Offset_Tanker/M_i_Y</f>
        <v>2750000</v>
      </c>
      <c r="P21" s="30">
        <f t="shared" si="6"/>
        <v>2750000</v>
      </c>
      <c r="Q21" s="30">
        <f t="shared" si="6"/>
        <v>2750000</v>
      </c>
      <c r="R21" s="30">
        <f t="shared" si="6"/>
        <v>2750000</v>
      </c>
      <c r="S21" s="30">
        <f t="shared" si="6"/>
        <v>2750000</v>
      </c>
      <c r="T21" s="30">
        <f t="shared" si="6"/>
        <v>2750000</v>
      </c>
      <c r="U21" s="30">
        <f t="shared" si="6"/>
        <v>2750000</v>
      </c>
      <c r="V21" s="30">
        <f t="shared" si="6"/>
        <v>2750000</v>
      </c>
      <c r="W21" s="30">
        <f t="shared" si="6"/>
        <v>2750000</v>
      </c>
      <c r="X21" s="30">
        <f t="shared" si="6"/>
        <v>2750000</v>
      </c>
      <c r="Y21" s="30">
        <f t="shared" si="6"/>
        <v>2750000</v>
      </c>
      <c r="Z21" s="30">
        <f t="shared" si="6"/>
        <v>2750000</v>
      </c>
      <c r="AA21" s="85">
        <f t="shared" si="1"/>
        <v>33000000</v>
      </c>
      <c r="AB21" s="85">
        <f>AA21*(Increment+Inflation_Carbon_Offset)</f>
        <v>34287000</v>
      </c>
      <c r="AC21" s="30">
        <f>AB21*(Increment+Inflation_Carbon_Offset)</f>
        <v>35624193</v>
      </c>
      <c r="AD21" s="100" cm="1">
        <f t="array" ref="AD21">AC21*(Increment+Inflation_Carbon_Offset)*Y5_Carbon_Increase</f>
        <v>74027073.05399999</v>
      </c>
    </row>
    <row r="22" spans="1:31" x14ac:dyDescent="0.35">
      <c r="A22" s="197" t="s">
        <v>221</v>
      </c>
      <c r="N22" s="85"/>
      <c r="AA22" s="85"/>
      <c r="AB22" s="85"/>
      <c r="AC22" s="85"/>
      <c r="AD22" s="85"/>
    </row>
    <row r="23" spans="1:31" x14ac:dyDescent="0.35">
      <c r="A23" t="s">
        <v>222</v>
      </c>
      <c r="B23" s="30" cm="1">
        <f t="array" ref="B23">Nil</f>
        <v>0</v>
      </c>
      <c r="C23" s="30" cm="1">
        <f t="array" ref="C23">Nil</f>
        <v>0</v>
      </c>
      <c r="D23" s="30" cm="1">
        <f t="array" ref="D23">Nil</f>
        <v>0</v>
      </c>
      <c r="E23" s="30" cm="1">
        <f t="array" ref="E23">Nil</f>
        <v>0</v>
      </c>
      <c r="F23" s="30" cm="1">
        <f t="array" ref="F23">Nil</f>
        <v>0</v>
      </c>
      <c r="G23" s="30" cm="1">
        <f t="array" ref="G23">Nil</f>
        <v>0</v>
      </c>
      <c r="H23" s="30" cm="1">
        <f t="array" ref="H23">Nil</f>
        <v>0</v>
      </c>
      <c r="I23" s="30" cm="1">
        <f t="array" ref="I23">Nil</f>
        <v>0</v>
      </c>
      <c r="J23" s="30" cm="1">
        <f t="array" ref="J23">Nil</f>
        <v>0</v>
      </c>
      <c r="K23" s="30" cm="1">
        <f t="array" ref="K23">Nil</f>
        <v>0</v>
      </c>
      <c r="L23" s="30" cm="1">
        <f t="array" ref="L23">Nil</f>
        <v>0</v>
      </c>
      <c r="M23" s="30" cm="1">
        <f t="array" ref="M23">Nil</f>
        <v>0</v>
      </c>
      <c r="N23" s="30">
        <f>SUM(B23:M23)</f>
        <v>0</v>
      </c>
      <c r="O23" s="88" cm="1">
        <f t="array" ref="O23">Nil</f>
        <v>0</v>
      </c>
      <c r="P23" s="30" cm="1">
        <f t="array" ref="P23">Nil</f>
        <v>0</v>
      </c>
      <c r="Q23" s="30" cm="1">
        <f t="array" ref="Q23">Nil</f>
        <v>0</v>
      </c>
      <c r="R23" s="30" cm="1">
        <f t="array" ref="R23">Nil</f>
        <v>0</v>
      </c>
      <c r="S23" s="30" cm="1">
        <f t="array" ref="S23">Nil</f>
        <v>0</v>
      </c>
      <c r="T23" s="30" cm="1">
        <f t="array" ref="T23">Nil</f>
        <v>0</v>
      </c>
      <c r="U23" s="30" cm="1">
        <f t="array" ref="U23">Nil</f>
        <v>0</v>
      </c>
      <c r="V23" s="30" cm="1">
        <f t="array" ref="V23">Nil</f>
        <v>0</v>
      </c>
      <c r="W23" s="30" cm="1">
        <f t="array" ref="W23">Nil</f>
        <v>0</v>
      </c>
      <c r="X23" s="30" cm="1">
        <f t="array" ref="X23">Nil</f>
        <v>0</v>
      </c>
      <c r="Y23" s="30" cm="1">
        <f t="array" ref="Y23">Nil</f>
        <v>0</v>
      </c>
      <c r="Z23" s="30" cm="1">
        <f t="array" ref="Z23">Nil</f>
        <v>0</v>
      </c>
      <c r="AA23" s="30">
        <f>SUM(O23:Z23)</f>
        <v>0</v>
      </c>
      <c r="AB23" s="88" cm="1">
        <f t="array" ref="AB23">Y3_Port_Repair</f>
        <v>5000000</v>
      </c>
      <c r="AC23" s="88" cm="1">
        <f t="array" ref="AC23">Nil</f>
        <v>0</v>
      </c>
      <c r="AD23" s="100" cm="1">
        <f t="array" ref="AD23">Nil</f>
        <v>0</v>
      </c>
    </row>
    <row r="24" spans="1:31" x14ac:dyDescent="0.35">
      <c r="A24" s="65" t="s">
        <v>223</v>
      </c>
      <c r="B24" s="81" cm="1">
        <f t="array" ref="B24">Nil</f>
        <v>0</v>
      </c>
      <c r="C24" s="81" cm="1">
        <f t="array" ref="C24">Nil</f>
        <v>0</v>
      </c>
      <c r="D24" s="81" cm="1">
        <f t="array" ref="D24">Nil</f>
        <v>0</v>
      </c>
      <c r="E24" s="81" cm="1">
        <f t="array" ref="E24">Nil</f>
        <v>0</v>
      </c>
      <c r="F24" s="81" cm="1">
        <f t="array" ref="F24">Nil</f>
        <v>0</v>
      </c>
      <c r="G24" s="81" cm="1">
        <f t="array" ref="G24">Nil</f>
        <v>0</v>
      </c>
      <c r="H24" s="81" cm="1">
        <f t="array" ref="H24">Nil</f>
        <v>0</v>
      </c>
      <c r="I24" s="81" cm="1">
        <f t="array" ref="I24">Nil</f>
        <v>0</v>
      </c>
      <c r="J24" s="81" cm="1">
        <f t="array" ref="J24">Nil</f>
        <v>0</v>
      </c>
      <c r="K24" s="81" cm="1">
        <f t="array" ref="K24">Nil</f>
        <v>0</v>
      </c>
      <c r="L24" s="81" cm="1">
        <f t="array" ref="L24">Nil</f>
        <v>0</v>
      </c>
      <c r="M24" s="81" cm="1">
        <f t="array" ref="M24">Nil</f>
        <v>0</v>
      </c>
      <c r="N24" s="86">
        <f>SUM(B24:M24)</f>
        <v>0</v>
      </c>
      <c r="O24" s="81" cm="1">
        <f t="array" ref="O24">Nil</f>
        <v>0</v>
      </c>
      <c r="P24" s="81" cm="1">
        <f t="array" ref="P24">Nil</f>
        <v>0</v>
      </c>
      <c r="Q24" s="81" cm="1">
        <f t="array" ref="Q24">Nil</f>
        <v>0</v>
      </c>
      <c r="R24" s="81" cm="1">
        <f t="array" ref="R24">Nil</f>
        <v>0</v>
      </c>
      <c r="S24" s="81" cm="1">
        <f t="array" ref="S24">Nil</f>
        <v>0</v>
      </c>
      <c r="T24" s="81" cm="1">
        <f t="array" ref="T24">Nil</f>
        <v>0</v>
      </c>
      <c r="U24" s="81" cm="1">
        <f t="array" ref="U24">Nil</f>
        <v>0</v>
      </c>
      <c r="V24" s="81" cm="1">
        <f t="array" ref="V24">Nil</f>
        <v>0</v>
      </c>
      <c r="W24" s="81" cm="1">
        <f t="array" ref="W24">Nil</f>
        <v>0</v>
      </c>
      <c r="X24" s="81" cm="1">
        <f t="array" ref="X24">Nil</f>
        <v>0</v>
      </c>
      <c r="Y24" s="81" cm="1">
        <f t="array" ref="Y24">Nil</f>
        <v>0</v>
      </c>
      <c r="Z24" s="81" cm="1">
        <f t="array" ref="Z24">Nil</f>
        <v>0</v>
      </c>
      <c r="AA24" s="86">
        <f>SUM(O24:Z24)</f>
        <v>0</v>
      </c>
      <c r="AB24" s="86" cm="1">
        <f t="array" ref="AB24">-Y3_Port_Repair*Insurance_Cov</f>
        <v>-4500000</v>
      </c>
      <c r="AC24" s="81" cm="1">
        <f t="array" ref="AC24">Nil</f>
        <v>0</v>
      </c>
      <c r="AD24" s="198" cm="1">
        <f t="array" ref="AD24">Nil</f>
        <v>0</v>
      </c>
    </row>
    <row r="25" spans="1:31" x14ac:dyDescent="0.35">
      <c r="A25" s="9" t="s">
        <v>224</v>
      </c>
      <c r="B25" s="30">
        <f t="shared" ref="B25:Z25" si="7">SUM(B12:B24)</f>
        <v>0</v>
      </c>
      <c r="C25" s="30">
        <f t="shared" si="7"/>
        <v>0</v>
      </c>
      <c r="D25" s="30">
        <f t="shared" si="7"/>
        <v>0</v>
      </c>
      <c r="E25" s="30">
        <f t="shared" si="7"/>
        <v>0</v>
      </c>
      <c r="F25" s="30">
        <f t="shared" si="7"/>
        <v>0</v>
      </c>
      <c r="G25" s="30">
        <f t="shared" si="7"/>
        <v>0</v>
      </c>
      <c r="H25" s="30">
        <f t="shared" si="7"/>
        <v>0</v>
      </c>
      <c r="I25" s="30">
        <f t="shared" si="7"/>
        <v>0</v>
      </c>
      <c r="J25" s="30">
        <f t="shared" si="7"/>
        <v>0</v>
      </c>
      <c r="K25" s="30">
        <f t="shared" si="7"/>
        <v>0</v>
      </c>
      <c r="L25" s="30">
        <f t="shared" si="7"/>
        <v>0</v>
      </c>
      <c r="M25" s="30">
        <f t="shared" si="7"/>
        <v>0</v>
      </c>
      <c r="N25" s="30">
        <f t="shared" si="7"/>
        <v>0</v>
      </c>
      <c r="O25" s="88">
        <f t="shared" si="7"/>
        <v>58867685.995893225</v>
      </c>
      <c r="P25" s="30">
        <f t="shared" si="7"/>
        <v>54175105.571526349</v>
      </c>
      <c r="Q25" s="30">
        <f t="shared" si="7"/>
        <v>58867685.995893225</v>
      </c>
      <c r="R25" s="30">
        <f t="shared" si="7"/>
        <v>57161293.114305273</v>
      </c>
      <c r="S25" s="30">
        <f t="shared" si="7"/>
        <v>58867685.995893225</v>
      </c>
      <c r="T25" s="30">
        <f t="shared" si="7"/>
        <v>57161293.114305273</v>
      </c>
      <c r="U25" s="30">
        <f t="shared" si="7"/>
        <v>58867685.995893225</v>
      </c>
      <c r="V25" s="30">
        <f t="shared" si="7"/>
        <v>58867685.995893225</v>
      </c>
      <c r="W25" s="30">
        <f t="shared" si="7"/>
        <v>57161293.114305273</v>
      </c>
      <c r="X25" s="30">
        <f t="shared" si="7"/>
        <v>58867685.995893225</v>
      </c>
      <c r="Y25" s="30">
        <f t="shared" si="7"/>
        <v>57161293.114305273</v>
      </c>
      <c r="Z25" s="30">
        <f t="shared" si="7"/>
        <v>58867685.995893225</v>
      </c>
      <c r="AA25" s="30">
        <f>SUM(AA12:AA24)</f>
        <v>694894080.00000012</v>
      </c>
      <c r="AB25" s="88">
        <f>SUM(AB12:AB24)</f>
        <v>710045692.49999988</v>
      </c>
      <c r="AC25" s="88">
        <f>SUM(AC12:AC24)</f>
        <v>724515562.65783715</v>
      </c>
      <c r="AD25" s="100">
        <f>SUM(AD12:AD24)</f>
        <v>776543128.71810532</v>
      </c>
    </row>
    <row r="26" spans="1:31" x14ac:dyDescent="0.35">
      <c r="N26" s="85"/>
      <c r="AA26" s="85"/>
      <c r="AB26" s="85"/>
      <c r="AC26" s="85"/>
      <c r="AD26" s="85"/>
    </row>
    <row r="27" spans="1:31" x14ac:dyDescent="0.35">
      <c r="A27" s="77" t="s">
        <v>225</v>
      </c>
      <c r="B27" s="82">
        <f t="shared" ref="B27:Z27" si="8">B8-B25</f>
        <v>0</v>
      </c>
      <c r="C27" s="82">
        <f t="shared" si="8"/>
        <v>0</v>
      </c>
      <c r="D27" s="82">
        <f t="shared" si="8"/>
        <v>0</v>
      </c>
      <c r="E27" s="82">
        <f t="shared" si="8"/>
        <v>0</v>
      </c>
      <c r="F27" s="82">
        <f t="shared" si="8"/>
        <v>0</v>
      </c>
      <c r="G27" s="82">
        <f t="shared" si="8"/>
        <v>0</v>
      </c>
      <c r="H27" s="82">
        <f t="shared" si="8"/>
        <v>0</v>
      </c>
      <c r="I27" s="82">
        <f t="shared" si="8"/>
        <v>0</v>
      </c>
      <c r="J27" s="82">
        <f t="shared" si="8"/>
        <v>0</v>
      </c>
      <c r="K27" s="82">
        <f t="shared" si="8"/>
        <v>0</v>
      </c>
      <c r="L27" s="82">
        <f t="shared" si="8"/>
        <v>0</v>
      </c>
      <c r="M27" s="82">
        <f t="shared" si="8"/>
        <v>0</v>
      </c>
      <c r="N27" s="82">
        <f t="shared" si="8"/>
        <v>0</v>
      </c>
      <c r="O27" s="89">
        <f t="shared" si="8"/>
        <v>8457269.5140314847</v>
      </c>
      <c r="P27" s="82">
        <f t="shared" si="8"/>
        <v>7177474.8528405279</v>
      </c>
      <c r="Q27" s="82">
        <f t="shared" si="8"/>
        <v>8457269.5140314847</v>
      </c>
      <c r="R27" s="82">
        <f t="shared" si="8"/>
        <v>7991889.6372347772</v>
      </c>
      <c r="S27" s="82">
        <f t="shared" si="8"/>
        <v>8457269.5140314847</v>
      </c>
      <c r="T27" s="82">
        <f t="shared" si="8"/>
        <v>7991889.6372347772</v>
      </c>
      <c r="U27" s="82">
        <f t="shared" si="8"/>
        <v>8457269.5140314847</v>
      </c>
      <c r="V27" s="82">
        <f t="shared" si="8"/>
        <v>8457269.5140314847</v>
      </c>
      <c r="W27" s="82">
        <f t="shared" si="8"/>
        <v>7991889.6372347772</v>
      </c>
      <c r="X27" s="82">
        <f t="shared" si="8"/>
        <v>8457269.5140314847</v>
      </c>
      <c r="Y27" s="82">
        <f t="shared" si="8"/>
        <v>7991889.6372347772</v>
      </c>
      <c r="Z27" s="82">
        <f t="shared" si="8"/>
        <v>8457269.5140314847</v>
      </c>
      <c r="AA27" s="82">
        <f>AA8-AA25</f>
        <v>98345920.000000119</v>
      </c>
      <c r="AB27" s="89">
        <f>AB8-AB25</f>
        <v>99118600.5</v>
      </c>
      <c r="AC27" s="89">
        <f>AC8-AC25</f>
        <v>100892703.52413738</v>
      </c>
      <c r="AD27" s="199">
        <f>AD8-AD25</f>
        <v>65435208.407472253</v>
      </c>
    </row>
    <row r="28" spans="1:31" x14ac:dyDescent="0.35">
      <c r="N28" s="85"/>
      <c r="AA28" s="85"/>
      <c r="AB28" s="85"/>
      <c r="AC28" s="85"/>
      <c r="AD28" s="85"/>
    </row>
    <row r="29" spans="1:31" x14ac:dyDescent="0.35">
      <c r="A29" s="67" t="s">
        <v>127</v>
      </c>
      <c r="B29" s="83" cm="1">
        <f t="array" ref="B29:M29">TRANSPOSE('Tanker Schedule'!J185:J196)</f>
        <v>102777.77777777777</v>
      </c>
      <c r="C29" s="83">
        <v>172222.22222222222</v>
      </c>
      <c r="D29" s="83">
        <v>241666.66666666666</v>
      </c>
      <c r="E29" s="83">
        <v>311111.11111111107</v>
      </c>
      <c r="F29" s="83">
        <v>380555.5555555555</v>
      </c>
      <c r="G29" s="83">
        <v>450000</v>
      </c>
      <c r="H29" s="83">
        <v>519444.4444444445</v>
      </c>
      <c r="I29" s="83">
        <v>588888.88888888899</v>
      </c>
      <c r="J29" s="83">
        <v>658333.33333333337</v>
      </c>
      <c r="K29" s="83">
        <v>727777.77777777798</v>
      </c>
      <c r="L29" s="83">
        <v>797222.22222222248</v>
      </c>
      <c r="M29" s="83">
        <v>866666.66666666686</v>
      </c>
      <c r="N29" s="87">
        <f>SUM(B29:M29)</f>
        <v>5816666.6666666679</v>
      </c>
      <c r="O29" s="83">
        <f>'Tanker Schedule'!$C$186/M_i_Y</f>
        <v>886055.5555555555</v>
      </c>
      <c r="P29" s="83">
        <f>'Tanker Schedule'!$C$186/M_i_Y</f>
        <v>886055.5555555555</v>
      </c>
      <c r="Q29" s="83">
        <f>'Tanker Schedule'!$C$186/M_i_Y</f>
        <v>886055.5555555555</v>
      </c>
      <c r="R29" s="83">
        <f>'Tanker Schedule'!$C$186/M_i_Y</f>
        <v>886055.5555555555</v>
      </c>
      <c r="S29" s="83">
        <f>'Tanker Schedule'!$C$186/M_i_Y</f>
        <v>886055.5555555555</v>
      </c>
      <c r="T29" s="83">
        <f>'Tanker Schedule'!$C$186/M_i_Y</f>
        <v>886055.5555555555</v>
      </c>
      <c r="U29" s="83">
        <f>'Tanker Schedule'!$C$186/M_i_Y</f>
        <v>886055.5555555555</v>
      </c>
      <c r="V29" s="83">
        <f>'Tanker Schedule'!$C$186/M_i_Y</f>
        <v>886055.5555555555</v>
      </c>
      <c r="W29" s="83">
        <f>'Tanker Schedule'!$C$186/M_i_Y</f>
        <v>886055.5555555555</v>
      </c>
      <c r="X29" s="83">
        <f>'Tanker Schedule'!$C$186/M_i_Y</f>
        <v>886055.5555555555</v>
      </c>
      <c r="Y29" s="83">
        <f>'Tanker Schedule'!$C$186/M_i_Y</f>
        <v>886055.5555555555</v>
      </c>
      <c r="Z29" s="83">
        <f>'Tanker Schedule'!$C$186/M_i_Y</f>
        <v>886055.5555555555</v>
      </c>
      <c r="AA29" s="87">
        <f>SUM(O29:Z29)</f>
        <v>10632666.66666667</v>
      </c>
      <c r="AB29" s="87">
        <f>'Tanker Schedule'!C187</f>
        <v>10443085.165944824</v>
      </c>
      <c r="AC29" s="87">
        <f>'Tanker Schedule'!C188</f>
        <v>10245920.405194106</v>
      </c>
      <c r="AD29" s="87">
        <f>'Tanker Schedule'!C189</f>
        <v>10040869.05401336</v>
      </c>
    </row>
    <row r="30" spans="1:31" x14ac:dyDescent="0.35">
      <c r="A30" s="65" t="s">
        <v>226</v>
      </c>
      <c r="B30" s="81" cm="1">
        <f t="array" ref="B30">Nil</f>
        <v>0</v>
      </c>
      <c r="C30" s="81" cm="1">
        <f t="array" ref="C30">Nil</f>
        <v>0</v>
      </c>
      <c r="D30" s="81" cm="1">
        <f t="array" ref="D30">Nil</f>
        <v>0</v>
      </c>
      <c r="E30" s="81" cm="1">
        <f t="array" ref="E30">Nil</f>
        <v>0</v>
      </c>
      <c r="F30" s="81" cm="1">
        <f t="array" ref="F30">Nil</f>
        <v>0</v>
      </c>
      <c r="G30" s="81" cm="1">
        <f t="array" ref="G30">Nil</f>
        <v>0</v>
      </c>
      <c r="H30" s="81" cm="1">
        <f t="array" ref="H30">Nil</f>
        <v>0</v>
      </c>
      <c r="I30" s="81" cm="1">
        <f t="array" ref="I30">Nil</f>
        <v>0</v>
      </c>
      <c r="J30" s="81" cm="1">
        <f t="array" ref="J30">Nil</f>
        <v>0</v>
      </c>
      <c r="K30" s="81" cm="1">
        <f t="array" ref="K30">Nil</f>
        <v>0</v>
      </c>
      <c r="L30" s="81" cm="1">
        <f t="array" ref="L30">Nil</f>
        <v>0</v>
      </c>
      <c r="M30" s="81" cm="1">
        <f t="array" ref="M30">Nil</f>
        <v>0</v>
      </c>
      <c r="N30" s="86">
        <f>SUM(B30:M30)</f>
        <v>0</v>
      </c>
      <c r="O30" s="81">
        <f>'Tanker Schedule'!$C$14/M_i_Y</f>
        <v>638888.88888888888</v>
      </c>
      <c r="P30" s="81">
        <f>'Tanker Schedule'!$C$14/M_i_Y</f>
        <v>638888.88888888888</v>
      </c>
      <c r="Q30" s="81">
        <f>'Tanker Schedule'!$C$14/M_i_Y</f>
        <v>638888.88888888888</v>
      </c>
      <c r="R30" s="81">
        <f>'Tanker Schedule'!$C$14/M_i_Y</f>
        <v>638888.88888888888</v>
      </c>
      <c r="S30" s="81">
        <f>'Tanker Schedule'!$C$14/M_i_Y</f>
        <v>638888.88888888888</v>
      </c>
      <c r="T30" s="81">
        <f>'Tanker Schedule'!$C$14/M_i_Y</f>
        <v>638888.88888888888</v>
      </c>
      <c r="U30" s="81">
        <f>'Tanker Schedule'!$C$14/M_i_Y</f>
        <v>638888.88888888888</v>
      </c>
      <c r="V30" s="81">
        <f>'Tanker Schedule'!$C$14/M_i_Y</f>
        <v>638888.88888888888</v>
      </c>
      <c r="W30" s="81">
        <f>'Tanker Schedule'!$C$14/M_i_Y</f>
        <v>638888.88888888888</v>
      </c>
      <c r="X30" s="81">
        <f>'Tanker Schedule'!$C$14/M_i_Y</f>
        <v>638888.88888888888</v>
      </c>
      <c r="Y30" s="81">
        <f>'Tanker Schedule'!$C$14/M_i_Y</f>
        <v>638888.88888888888</v>
      </c>
      <c r="Z30" s="81">
        <f>'Tanker Schedule'!$C$14/M_i_Y</f>
        <v>638888.88888888888</v>
      </c>
      <c r="AA30" s="86">
        <f>SUM(O30:Z30)</f>
        <v>7666666.666666667</v>
      </c>
      <c r="AB30" s="86">
        <f>'Tanker Schedule'!C15</f>
        <v>7666666.666666667</v>
      </c>
      <c r="AC30" s="86">
        <f>'Tanker Schedule'!C16</f>
        <v>7666666.666666667</v>
      </c>
      <c r="AD30" s="86">
        <f>'Tanker Schedule'!C17</f>
        <v>7666666.666666667</v>
      </c>
    </row>
    <row r="31" spans="1:31" x14ac:dyDescent="0.35">
      <c r="N31" s="85"/>
      <c r="AA31" s="85"/>
      <c r="AB31" s="85"/>
      <c r="AC31" s="85"/>
      <c r="AD31" s="85"/>
    </row>
    <row r="32" spans="1:31" x14ac:dyDescent="0.35">
      <c r="A32" s="76" t="s">
        <v>227</v>
      </c>
      <c r="B32" s="84">
        <f>B27-B29-B30</f>
        <v>-102777.77777777777</v>
      </c>
      <c r="C32" s="84">
        <f t="shared" ref="C32:AD32" si="9">C27-C29-C30</f>
        <v>-172222.22222222222</v>
      </c>
      <c r="D32" s="84">
        <f t="shared" si="9"/>
        <v>-241666.66666666666</v>
      </c>
      <c r="E32" s="84">
        <f t="shared" si="9"/>
        <v>-311111.11111111107</v>
      </c>
      <c r="F32" s="84">
        <f t="shared" si="9"/>
        <v>-380555.5555555555</v>
      </c>
      <c r="G32" s="84">
        <f t="shared" si="9"/>
        <v>-450000</v>
      </c>
      <c r="H32" s="84">
        <f t="shared" si="9"/>
        <v>-519444.4444444445</v>
      </c>
      <c r="I32" s="84">
        <f t="shared" si="9"/>
        <v>-588888.88888888899</v>
      </c>
      <c r="J32" s="84">
        <f t="shared" si="9"/>
        <v>-658333.33333333337</v>
      </c>
      <c r="K32" s="84">
        <f t="shared" si="9"/>
        <v>-727777.77777777798</v>
      </c>
      <c r="L32" s="84">
        <f t="shared" si="9"/>
        <v>-797222.22222222248</v>
      </c>
      <c r="M32" s="84">
        <f t="shared" si="9"/>
        <v>-866666.66666666686</v>
      </c>
      <c r="N32" s="84">
        <f t="shared" si="9"/>
        <v>-5816666.6666666679</v>
      </c>
      <c r="O32" s="90">
        <f t="shared" si="9"/>
        <v>6932325.0695870398</v>
      </c>
      <c r="P32" s="84">
        <f t="shared" si="9"/>
        <v>5652530.4083960829</v>
      </c>
      <c r="Q32" s="84">
        <f t="shared" si="9"/>
        <v>6932325.0695870398</v>
      </c>
      <c r="R32" s="84">
        <f t="shared" si="9"/>
        <v>6466945.1927903323</v>
      </c>
      <c r="S32" s="84">
        <f t="shared" si="9"/>
        <v>6932325.0695870398</v>
      </c>
      <c r="T32" s="84">
        <f t="shared" si="9"/>
        <v>6466945.1927903323</v>
      </c>
      <c r="U32" s="84">
        <f t="shared" si="9"/>
        <v>6932325.0695870398</v>
      </c>
      <c r="V32" s="84">
        <f t="shared" si="9"/>
        <v>6932325.0695870398</v>
      </c>
      <c r="W32" s="84">
        <f t="shared" si="9"/>
        <v>6466945.1927903323</v>
      </c>
      <c r="X32" s="84">
        <f t="shared" si="9"/>
        <v>6932325.0695870398</v>
      </c>
      <c r="Y32" s="84">
        <f t="shared" si="9"/>
        <v>6466945.1927903323</v>
      </c>
      <c r="Z32" s="84">
        <f t="shared" si="9"/>
        <v>6932325.0695870398</v>
      </c>
      <c r="AA32" s="84">
        <f>AA27-AA29-AA30</f>
        <v>80046586.666666776</v>
      </c>
      <c r="AB32" s="90">
        <f t="shared" si="9"/>
        <v>81008848.667388499</v>
      </c>
      <c r="AC32" s="90">
        <f t="shared" si="9"/>
        <v>82980116.452276602</v>
      </c>
      <c r="AD32" s="200">
        <f t="shared" si="9"/>
        <v>47727672.686792232</v>
      </c>
    </row>
  </sheetData>
  <mergeCells count="2">
    <mergeCell ref="B5:N5"/>
    <mergeCell ref="O5:AA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4A87-5D59-4013-A61F-24AE9F95935D}">
  <dimension ref="A1:H47"/>
  <sheetViews>
    <sheetView workbookViewId="0">
      <selection activeCell="A8" sqref="A8"/>
    </sheetView>
  </sheetViews>
  <sheetFormatPr defaultColWidth="8.81640625" defaultRowHeight="14.5" x14ac:dyDescent="0.35"/>
  <cols>
    <col min="1" max="1" width="48" bestFit="1" customWidth="1"/>
    <col min="2" max="2" width="14" bestFit="1" customWidth="1"/>
    <col min="3" max="6" width="12.81640625" bestFit="1" customWidth="1"/>
    <col min="7" max="7" width="21.26953125" customWidth="1"/>
    <col min="8" max="8" width="12.1796875" bestFit="1" customWidth="1"/>
  </cols>
  <sheetData>
    <row r="1" spans="1:8" x14ac:dyDescent="0.35">
      <c r="A1" s="235" t="s">
        <v>19</v>
      </c>
    </row>
    <row r="2" spans="1:8" x14ac:dyDescent="0.35">
      <c r="A2" s="236" t="s">
        <v>228</v>
      </c>
    </row>
    <row r="3" spans="1:8" x14ac:dyDescent="0.35">
      <c r="A3" s="235" t="s">
        <v>173</v>
      </c>
    </row>
    <row r="5" spans="1:8" x14ac:dyDescent="0.35">
      <c r="B5" s="129" t="s">
        <v>174</v>
      </c>
      <c r="C5" s="129" t="s">
        <v>176</v>
      </c>
      <c r="D5" s="129" t="s">
        <v>178</v>
      </c>
      <c r="E5" s="129" t="s">
        <v>179</v>
      </c>
      <c r="F5" s="129" t="s">
        <v>180</v>
      </c>
    </row>
    <row r="6" spans="1:8" x14ac:dyDescent="0.35">
      <c r="A6" s="115" t="s">
        <v>229</v>
      </c>
      <c r="H6" s="165"/>
    </row>
    <row r="7" spans="1:8" x14ac:dyDescent="0.35">
      <c r="A7" s="115"/>
      <c r="B7" s="4"/>
      <c r="C7" s="4"/>
      <c r="D7" s="4"/>
      <c r="E7" s="4"/>
      <c r="F7" s="4"/>
    </row>
    <row r="8" spans="1:8" x14ac:dyDescent="0.35">
      <c r="A8" t="s">
        <v>230</v>
      </c>
      <c r="B8" s="207">
        <f>'Cash Budget'!N33</f>
        <v>10000000.00000003</v>
      </c>
      <c r="C8" s="207">
        <f>'Cash Budget'!AA33</f>
        <v>146198357.12297142</v>
      </c>
      <c r="D8" s="207">
        <f>'Cash Budget'!AB33</f>
        <v>231023322.6378876</v>
      </c>
      <c r="E8" s="207">
        <f>'Cash Budget'!AC33</f>
        <v>317644079.19894087</v>
      </c>
      <c r="F8" s="207">
        <f>'Cash Budget'!AD33</f>
        <v>368806011.77535534</v>
      </c>
    </row>
    <row r="9" spans="1:8" x14ac:dyDescent="0.35">
      <c r="A9" t="s">
        <v>231</v>
      </c>
      <c r="B9" s="130"/>
      <c r="C9" s="207">
        <f>'Tanker Schedule'!D82/D_i_Y</f>
        <v>2171772.7583846683</v>
      </c>
      <c r="D9" s="207">
        <f>'Tanker Schedule'!D83/D_i_Y</f>
        <v>2215371.0965092401</v>
      </c>
      <c r="E9" s="207">
        <f>'Tanker Schedule'!D84/D_i_Y</f>
        <v>2259844.6712716618</v>
      </c>
      <c r="F9" s="207">
        <f>'Tanker Schedule'!D85/D_i_Y</f>
        <v>2305211.0530474405</v>
      </c>
    </row>
    <row r="10" spans="1:8" x14ac:dyDescent="0.35">
      <c r="A10" t="s">
        <v>232</v>
      </c>
      <c r="B10" s="207">
        <f>Building_Cost_Tanker</f>
        <v>250000000</v>
      </c>
      <c r="C10" s="207">
        <f>Building_Cost_Tanker</f>
        <v>250000000</v>
      </c>
      <c r="D10" s="207">
        <f>Building_Cost_Tanker</f>
        <v>250000000</v>
      </c>
      <c r="E10" s="207">
        <f>Building_Cost_Tanker</f>
        <v>250000000</v>
      </c>
      <c r="F10" s="207">
        <f>Building_Cost_Tanker</f>
        <v>250000000</v>
      </c>
    </row>
    <row r="11" spans="1:8" x14ac:dyDescent="0.35">
      <c r="A11" t="s">
        <v>233</v>
      </c>
      <c r="B11" s="130"/>
      <c r="C11" s="209">
        <f>-(Annual_Depreciation_Tanker)</f>
        <v>-7666666.666666667</v>
      </c>
      <c r="D11" s="209">
        <f>-(Annual_Depreciation_Tanker-C11)</f>
        <v>-15333333.333333334</v>
      </c>
      <c r="E11" s="209">
        <f>-(Annual_Depreciation_Tanker-D11)</f>
        <v>-23000000</v>
      </c>
      <c r="F11" s="209">
        <f>-(Annual_Depreciation_Tanker-E11)</f>
        <v>-30666666.666666668</v>
      </c>
    </row>
    <row r="12" spans="1:8" x14ac:dyDescent="0.35">
      <c r="B12" s="4"/>
      <c r="C12" s="4"/>
      <c r="D12" s="4"/>
      <c r="E12" s="4"/>
      <c r="F12" s="4"/>
    </row>
    <row r="13" spans="1:8" x14ac:dyDescent="0.35">
      <c r="A13" t="s">
        <v>234</v>
      </c>
      <c r="B13" s="143">
        <f>SUM(B8:B11)</f>
        <v>260000000.00000003</v>
      </c>
      <c r="C13" s="143">
        <f>SUM(C8:C11)</f>
        <v>390703463.21468943</v>
      </c>
      <c r="D13" s="143">
        <f>SUM(D8:D11)</f>
        <v>467905360.4010635</v>
      </c>
      <c r="E13" s="143">
        <f>SUM(E8:E11)</f>
        <v>546903923.87021255</v>
      </c>
      <c r="F13" s="143">
        <f>SUM(F8:F11)</f>
        <v>590444556.16173613</v>
      </c>
    </row>
    <row r="14" spans="1:8" x14ac:dyDescent="0.35">
      <c r="B14" s="4"/>
      <c r="C14" s="4"/>
      <c r="D14" s="4"/>
      <c r="E14" s="4"/>
      <c r="F14" s="4"/>
    </row>
    <row r="15" spans="1:8" x14ac:dyDescent="0.35">
      <c r="A15" s="9" t="s">
        <v>235</v>
      </c>
      <c r="B15" s="4"/>
      <c r="C15" s="4"/>
      <c r="D15" s="4"/>
      <c r="E15" s="4"/>
      <c r="F15" s="4"/>
    </row>
    <row r="16" spans="1:8" x14ac:dyDescent="0.35">
      <c r="B16" s="4"/>
      <c r="C16" s="4"/>
      <c r="D16" s="4"/>
      <c r="E16" s="4"/>
      <c r="F16" s="4"/>
      <c r="H16" s="165"/>
    </row>
    <row r="17" spans="1:7" x14ac:dyDescent="0.35">
      <c r="A17" t="s">
        <v>236</v>
      </c>
      <c r="B17" s="130"/>
      <c r="C17" s="207">
        <f>'Tanker Schedule'!I48</f>
        <v>53728.070175438595</v>
      </c>
      <c r="D17" s="207">
        <f>'Tanker Schedule'!I49</f>
        <v>54533.991228070168</v>
      </c>
      <c r="E17" s="207">
        <f>'Tanker Schedule'!I50</f>
        <v>55352.001096491214</v>
      </c>
      <c r="F17" s="207">
        <f>'Tanker Schedule'!I51</f>
        <v>56182.281112938574</v>
      </c>
    </row>
    <row r="18" spans="1:7" x14ac:dyDescent="0.35">
      <c r="A18" t="s">
        <v>237</v>
      </c>
      <c r="B18" s="130"/>
      <c r="C18" s="207" cm="1">
        <f t="array" ref="C18">('Tanker Schedule'!I82/D_i_Y)*Days_Dec</f>
        <v>52898179.329226561</v>
      </c>
      <c r="D18" s="207" cm="1">
        <f t="array" ref="D18">('Tanker Schedule'!I83/D_i_Y)*Days_Dec</f>
        <v>53960110.279260777</v>
      </c>
      <c r="E18" s="207" cm="1">
        <f t="array" ref="E18">('Tanker Schedule'!I84/D_i_Y)*Days_Dec</f>
        <v>55043359.493116915</v>
      </c>
      <c r="F18" s="207" cm="1">
        <f t="array" ref="F18">('Tanker Schedule'!I85/D_i_Y)*Days_Dec</f>
        <v>56148354.934941225</v>
      </c>
    </row>
    <row r="19" spans="1:7" x14ac:dyDescent="0.35">
      <c r="A19" t="s">
        <v>238</v>
      </c>
      <c r="B19" s="130"/>
      <c r="C19" s="207">
        <f>'Tanker Schedule'!D116/M_i_Y</f>
        <v>1998333.3333333333</v>
      </c>
      <c r="D19" s="207">
        <f>'Tanker Schedule'!D117/M_i_Y</f>
        <v>2046916.6666666663</v>
      </c>
      <c r="E19" s="207">
        <f>'Tanker Schedule'!D118/M_i_Y</f>
        <v>2096507.8749999993</v>
      </c>
      <c r="F19" s="207">
        <f>'Tanker Schedule'!D119/M_i_Y</f>
        <v>2127955.4931249991</v>
      </c>
    </row>
    <row r="20" spans="1:7" x14ac:dyDescent="0.35">
      <c r="A20" t="s">
        <v>239</v>
      </c>
      <c r="B20" s="130"/>
      <c r="C20" s="207">
        <f>'Tanker Schedule'!I116/M_i_Y</f>
        <v>82840</v>
      </c>
      <c r="D20" s="207">
        <f>'Tanker Schedule'!I117/M_i_Y</f>
        <v>84853.999999999985</v>
      </c>
      <c r="E20" s="207">
        <f>'Tanker Schedule'!I118/M_i_Y</f>
        <v>86909.780999999988</v>
      </c>
      <c r="F20" s="207">
        <f>'Tanker Schedule'!I119/M_i_Y</f>
        <v>88213.427714999954</v>
      </c>
    </row>
    <row r="21" spans="1:7" x14ac:dyDescent="0.35">
      <c r="A21" t="s">
        <v>240</v>
      </c>
      <c r="B21" s="130"/>
      <c r="C21" s="207">
        <f>'Tanker Schedule'!D150/M_i_Y</f>
        <v>363333.33333333331</v>
      </c>
      <c r="D21" s="207">
        <f>'Tanker Schedule'!D151/M_i_Y</f>
        <v>372166.66666666657</v>
      </c>
      <c r="E21" s="207">
        <f>'Tanker Schedule'!D152/M_i_Y</f>
        <v>381183.24999999983</v>
      </c>
      <c r="F21" s="207">
        <f>'Tanker Schedule'!D153/M_i_Y</f>
        <v>386900.99874999985</v>
      </c>
    </row>
    <row r="22" spans="1:7" x14ac:dyDescent="0.35">
      <c r="A22" t="s">
        <v>241</v>
      </c>
      <c r="B22" s="207">
        <f>'Tanker Schedule'!F185</f>
        <v>265816666.66666666</v>
      </c>
      <c r="C22" s="207">
        <f>'Tanker Schedule'!F186</f>
        <v>261077129.14862058</v>
      </c>
      <c r="D22" s="207">
        <f>'Tanker Schedule'!F187</f>
        <v>256148010.12985265</v>
      </c>
      <c r="E22" s="207">
        <f>'Tanker Schedule'!F188</f>
        <v>251021726.35033402</v>
      </c>
      <c r="F22" s="207">
        <f>'Tanker Schedule'!F189</f>
        <v>245690391.21963462</v>
      </c>
    </row>
    <row r="23" spans="1:7" x14ac:dyDescent="0.35">
      <c r="B23" s="207"/>
      <c r="C23" s="207"/>
      <c r="D23" s="207"/>
      <c r="E23" s="207"/>
      <c r="F23" s="4"/>
    </row>
    <row r="24" spans="1:7" x14ac:dyDescent="0.35">
      <c r="A24" s="9" t="s">
        <v>242</v>
      </c>
      <c r="B24" s="207"/>
      <c r="C24" s="207"/>
      <c r="D24" s="207"/>
      <c r="E24" s="207"/>
      <c r="F24" s="4"/>
    </row>
    <row r="25" spans="1:7" x14ac:dyDescent="0.35">
      <c r="B25" s="207"/>
      <c r="C25" s="207"/>
      <c r="D25" s="207"/>
      <c r="E25" s="207"/>
      <c r="F25" s="4"/>
    </row>
    <row r="26" spans="1:7" x14ac:dyDescent="0.35">
      <c r="A26" t="s">
        <v>243</v>
      </c>
      <c r="B26" s="209">
        <f>'Statement of Income'!N32</f>
        <v>-5816666.6666666679</v>
      </c>
      <c r="C26" s="207">
        <f>'Statement of Income'!AA32+B26</f>
        <v>74229920.000000104</v>
      </c>
      <c r="D26" s="207">
        <f>'Statement of Income'!AB32+C26</f>
        <v>155238768.66738862</v>
      </c>
      <c r="E26" s="207">
        <f>'Statement of Income'!AC32+D26</f>
        <v>238218885.11966521</v>
      </c>
      <c r="F26" s="207">
        <f>'Statement of Income'!AD32+E26</f>
        <v>285946557.80645746</v>
      </c>
    </row>
    <row r="27" spans="1:7" x14ac:dyDescent="0.35">
      <c r="B27" s="207"/>
      <c r="C27" s="207"/>
      <c r="D27" s="207"/>
      <c r="E27" s="207"/>
      <c r="F27" s="4"/>
    </row>
    <row r="28" spans="1:7" x14ac:dyDescent="0.35">
      <c r="A28" t="s">
        <v>244</v>
      </c>
      <c r="B28" s="143">
        <f>SUM(B17:B26)</f>
        <v>260000000</v>
      </c>
      <c r="C28" s="143">
        <f>SUM(C17:C26)</f>
        <v>390703463.21468937</v>
      </c>
      <c r="D28" s="143">
        <f>SUM(D17:D26)</f>
        <v>467905360.40106344</v>
      </c>
      <c r="E28" s="143">
        <f>SUM(E17:E26)</f>
        <v>546903923.87021255</v>
      </c>
      <c r="F28" s="143">
        <f>SUM(F17:F26)</f>
        <v>590444556.16173625</v>
      </c>
    </row>
    <row r="29" spans="1:7" x14ac:dyDescent="0.35">
      <c r="B29" s="4"/>
      <c r="C29" s="4"/>
      <c r="D29" s="4"/>
      <c r="E29" s="4"/>
      <c r="F29" s="4"/>
    </row>
    <row r="30" spans="1:7" x14ac:dyDescent="0.35">
      <c r="A30" t="s">
        <v>245</v>
      </c>
      <c r="B30" s="4">
        <f>B13-B28</f>
        <v>0</v>
      </c>
      <c r="C30" s="4">
        <f>C13-C28</f>
        <v>0</v>
      </c>
      <c r="D30" s="4">
        <f>D13-D28</f>
        <v>0</v>
      </c>
      <c r="E30" s="4">
        <f>E13-E28</f>
        <v>0</v>
      </c>
      <c r="F30" s="4">
        <f>F13-F28</f>
        <v>0</v>
      </c>
      <c r="G30" s="165"/>
    </row>
    <row r="31" spans="1:7" x14ac:dyDescent="0.35">
      <c r="B31" s="4"/>
      <c r="C31" s="4"/>
      <c r="D31" s="4"/>
      <c r="E31" s="4"/>
      <c r="F31" s="4"/>
    </row>
    <row r="32" spans="1:7" x14ac:dyDescent="0.35">
      <c r="B32" s="4"/>
      <c r="C32" s="4"/>
      <c r="D32" s="4"/>
      <c r="E32" s="4"/>
      <c r="F32" s="4"/>
    </row>
    <row r="33" spans="2:6" x14ac:dyDescent="0.35">
      <c r="B33" s="4"/>
      <c r="C33" s="4"/>
      <c r="D33" s="4"/>
      <c r="E33" s="4"/>
      <c r="F33" s="4"/>
    </row>
    <row r="34" spans="2:6" x14ac:dyDescent="0.35">
      <c r="B34" s="4"/>
      <c r="C34" s="4"/>
      <c r="D34" s="4"/>
      <c r="E34" s="4"/>
    </row>
    <row r="35" spans="2:6" x14ac:dyDescent="0.35">
      <c r="B35" s="4"/>
      <c r="C35" s="4"/>
      <c r="D35" s="4"/>
      <c r="E35" s="4"/>
    </row>
    <row r="36" spans="2:6" x14ac:dyDescent="0.35">
      <c r="B36" s="4"/>
      <c r="C36" s="4"/>
      <c r="D36" s="4"/>
      <c r="E36" s="4"/>
    </row>
    <row r="37" spans="2:6" x14ac:dyDescent="0.35">
      <c r="B37" s="4"/>
      <c r="C37" s="4"/>
      <c r="D37" s="4"/>
      <c r="E37" s="4"/>
    </row>
    <row r="38" spans="2:6" x14ac:dyDescent="0.35">
      <c r="B38" s="4"/>
      <c r="C38" s="4"/>
      <c r="D38" s="4"/>
      <c r="E38" s="4"/>
      <c r="F38" s="4"/>
    </row>
    <row r="39" spans="2:6" x14ac:dyDescent="0.35">
      <c r="B39" s="4"/>
      <c r="C39" s="4"/>
      <c r="D39" s="4"/>
      <c r="E39" s="4"/>
      <c r="F39" s="4"/>
    </row>
    <row r="40" spans="2:6" x14ac:dyDescent="0.35">
      <c r="B40" s="4"/>
      <c r="C40" s="4"/>
      <c r="D40" s="4"/>
      <c r="E40" s="4"/>
      <c r="F40" s="4"/>
    </row>
    <row r="41" spans="2:6" x14ac:dyDescent="0.35">
      <c r="B41" s="4"/>
      <c r="C41" s="4"/>
      <c r="D41" s="4"/>
      <c r="E41" s="4"/>
      <c r="F41" s="4"/>
    </row>
    <row r="42" spans="2:6" x14ac:dyDescent="0.35">
      <c r="B42" s="4"/>
      <c r="C42" s="4"/>
      <c r="D42" s="4"/>
      <c r="E42" s="4"/>
      <c r="F42" s="4"/>
    </row>
    <row r="43" spans="2:6" x14ac:dyDescent="0.35">
      <c r="B43" s="4"/>
      <c r="C43" s="4"/>
      <c r="D43" s="4"/>
      <c r="E43" s="4"/>
      <c r="F43" s="4"/>
    </row>
    <row r="44" spans="2:6" x14ac:dyDescent="0.35">
      <c r="B44" s="4"/>
      <c r="C44" s="4"/>
      <c r="D44" s="4"/>
      <c r="E44" s="4"/>
      <c r="F44" s="4"/>
    </row>
    <row r="45" spans="2:6" x14ac:dyDescent="0.35">
      <c r="B45" s="4"/>
      <c r="C45" s="4"/>
      <c r="D45" s="4"/>
      <c r="E45" s="4"/>
      <c r="F45" s="4"/>
    </row>
    <row r="46" spans="2:6" x14ac:dyDescent="0.35">
      <c r="B46" s="4"/>
      <c r="C46" s="4"/>
      <c r="D46" s="4"/>
      <c r="E46" s="4"/>
      <c r="F46" s="4"/>
    </row>
    <row r="47" spans="2:6" x14ac:dyDescent="0.35">
      <c r="B47" s="4"/>
      <c r="C47" s="4"/>
      <c r="D47" s="4"/>
      <c r="E47" s="4"/>
      <c r="F47"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C4D1-3405-4413-88CB-6D657049050F}">
  <dimension ref="A1:AE79"/>
  <sheetViews>
    <sheetView workbookViewId="0">
      <selection activeCell="A45" sqref="A45"/>
    </sheetView>
  </sheetViews>
  <sheetFormatPr defaultColWidth="9.1796875" defaultRowHeight="14.5" x14ac:dyDescent="0.35"/>
  <cols>
    <col min="1" max="1" width="43.453125" style="156" bestFit="1" customWidth="1"/>
    <col min="2" max="2" width="16.81640625" style="156" bestFit="1" customWidth="1"/>
    <col min="3" max="3" width="22.81640625" style="156" bestFit="1" customWidth="1"/>
    <col min="4" max="4" width="22.453125" style="156" customWidth="1"/>
    <col min="5" max="5" width="21.453125" style="156" bestFit="1" customWidth="1"/>
    <col min="6" max="6" width="21.453125" style="156" customWidth="1"/>
    <col min="7" max="8" width="16.81640625" style="156" bestFit="1" customWidth="1"/>
    <col min="9" max="31" width="18.453125" style="156" bestFit="1" customWidth="1"/>
    <col min="32" max="16384" width="9.1796875" style="156"/>
  </cols>
  <sheetData>
    <row r="1" spans="1:31" x14ac:dyDescent="0.35">
      <c r="A1" s="169" t="s">
        <v>19</v>
      </c>
    </row>
    <row r="2" spans="1:31" x14ac:dyDescent="0.35">
      <c r="A2" s="169" t="s">
        <v>246</v>
      </c>
    </row>
    <row r="4" spans="1:31" x14ac:dyDescent="0.35">
      <c r="A4" s="169" t="s">
        <v>247</v>
      </c>
    </row>
    <row r="5" spans="1:31" x14ac:dyDescent="0.35">
      <c r="A5" s="174"/>
      <c r="B5" s="170" t="s">
        <v>248</v>
      </c>
      <c r="C5" s="171" t="s">
        <v>249</v>
      </c>
      <c r="D5" s="171" t="s">
        <v>250</v>
      </c>
      <c r="E5" s="171" t="s">
        <v>251</v>
      </c>
      <c r="F5" s="171" t="s">
        <v>252</v>
      </c>
      <c r="G5" s="171" t="s">
        <v>253</v>
      </c>
      <c r="H5" s="171" t="s">
        <v>254</v>
      </c>
      <c r="I5" s="171" t="s">
        <v>255</v>
      </c>
      <c r="J5" s="171" t="s">
        <v>256</v>
      </c>
      <c r="K5" s="171" t="s">
        <v>257</v>
      </c>
      <c r="L5" s="171" t="s">
        <v>258</v>
      </c>
      <c r="M5" s="171" t="s">
        <v>259</v>
      </c>
      <c r="N5" s="171" t="s">
        <v>260</v>
      </c>
      <c r="O5" s="171" t="s">
        <v>261</v>
      </c>
      <c r="P5" s="171" t="s">
        <v>262</v>
      </c>
      <c r="Q5" s="171" t="s">
        <v>263</v>
      </c>
      <c r="R5" s="171" t="s">
        <v>264</v>
      </c>
      <c r="S5" s="171" t="s">
        <v>265</v>
      </c>
      <c r="T5" s="171" t="s">
        <v>266</v>
      </c>
      <c r="U5" s="171" t="s">
        <v>267</v>
      </c>
      <c r="V5" s="171" t="s">
        <v>268</v>
      </c>
      <c r="W5" s="171" t="s">
        <v>269</v>
      </c>
      <c r="X5" s="171" t="s">
        <v>270</v>
      </c>
      <c r="Y5" s="171" t="s">
        <v>271</v>
      </c>
      <c r="Z5" s="171" t="s">
        <v>272</v>
      </c>
      <c r="AA5" s="171" t="s">
        <v>273</v>
      </c>
      <c r="AB5" s="171" t="s">
        <v>274</v>
      </c>
      <c r="AC5" s="171" t="s">
        <v>275</v>
      </c>
      <c r="AD5" s="171" t="s">
        <v>276</v>
      </c>
      <c r="AE5" s="172" t="s">
        <v>277</v>
      </c>
    </row>
    <row r="6" spans="1:31" x14ac:dyDescent="0.35">
      <c r="A6" s="181" t="s">
        <v>278</v>
      </c>
      <c r="B6" s="155"/>
      <c r="AE6" s="157"/>
    </row>
    <row r="7" spans="1:31" x14ac:dyDescent="0.35">
      <c r="A7" s="155" t="s">
        <v>279</v>
      </c>
      <c r="B7" s="155" cm="1">
        <f t="array" ref="B7:AE7">TRANSPOSE('Pipeline Schedule'!D49:D78)</f>
        <v>884000000</v>
      </c>
      <c r="C7" s="156">
        <v>901746299.99999976</v>
      </c>
      <c r="D7" s="156">
        <v>919848856.97249961</v>
      </c>
      <c r="E7" s="156">
        <v>938314822.77622223</v>
      </c>
      <c r="F7" s="156">
        <v>957151492.84345448</v>
      </c>
      <c r="G7" s="156">
        <v>976366309.0622865</v>
      </c>
      <c r="H7" s="156">
        <v>995966862.71671152</v>
      </c>
      <c r="I7" s="156">
        <v>1015960897.4857492</v>
      </c>
      <c r="J7" s="156">
        <v>1036356312.5027754</v>
      </c>
      <c r="K7" s="156">
        <v>1057161165.4762684</v>
      </c>
      <c r="L7" s="156">
        <v>1078383675.8732042</v>
      </c>
      <c r="M7" s="156">
        <v>1100032228.1663587</v>
      </c>
      <c r="N7" s="156">
        <v>1122115375.1467977</v>
      </c>
      <c r="O7" s="156">
        <v>1144641841.3028696</v>
      </c>
      <c r="P7" s="156">
        <v>1167620526.2670243</v>
      </c>
      <c r="Q7" s="156">
        <v>1191060508.3318341</v>
      </c>
      <c r="R7" s="156">
        <v>1214971048.0365953</v>
      </c>
      <c r="S7" s="156">
        <v>1239361591.8259296</v>
      </c>
      <c r="T7" s="156">
        <v>1264241775.7818348</v>
      </c>
      <c r="U7" s="156">
        <v>1289621429.430655</v>
      </c>
      <c r="V7" s="156">
        <v>1315510579.6264746</v>
      </c>
      <c r="W7" s="156">
        <v>1341919454.512476</v>
      </c>
      <c r="X7" s="156">
        <v>1368858487.5618136</v>
      </c>
      <c r="Y7" s="156">
        <v>1396338321.6996164</v>
      </c>
      <c r="Z7" s="156">
        <v>1424369813.5077362</v>
      </c>
      <c r="AA7" s="156">
        <v>1452964037.5139036</v>
      </c>
      <c r="AB7" s="156">
        <v>1482132290.5669947</v>
      </c>
      <c r="AC7" s="156">
        <v>1511886096.3001266</v>
      </c>
      <c r="AD7" s="156">
        <v>1542237209.6833513</v>
      </c>
      <c r="AE7" s="157">
        <v>1573197621.6677442</v>
      </c>
    </row>
    <row r="8" spans="1:31" x14ac:dyDescent="0.35">
      <c r="A8" s="155" t="s">
        <v>280</v>
      </c>
      <c r="B8" s="155" cm="1">
        <f t="array" ref="B8:AE8">TRANSPOSE('Pipeline Schedule'!I49:I78)</f>
        <v>782000000</v>
      </c>
      <c r="C8" s="156">
        <v>797698649.99999988</v>
      </c>
      <c r="D8" s="156">
        <v>813712450.39874959</v>
      </c>
      <c r="E8" s="156">
        <v>830047727.84050417</v>
      </c>
      <c r="F8" s="156">
        <v>846710935.97690201</v>
      </c>
      <c r="G8" s="156">
        <v>863708658.01663816</v>
      </c>
      <c r="H8" s="156">
        <v>881047609.32632172</v>
      </c>
      <c r="I8" s="156">
        <v>898734640.08354747</v>
      </c>
      <c r="J8" s="156">
        <v>916776737.98322451</v>
      </c>
      <c r="K8" s="156">
        <v>935181030.99823749</v>
      </c>
      <c r="L8" s="156">
        <v>953954790.19552696</v>
      </c>
      <c r="M8" s="156">
        <v>973105432.60870194</v>
      </c>
      <c r="N8" s="156">
        <v>992640524.16832113</v>
      </c>
      <c r="O8" s="156">
        <v>1012567782.691</v>
      </c>
      <c r="P8" s="156">
        <v>1032895080.9285213</v>
      </c>
      <c r="Q8" s="156">
        <v>1053630449.678161</v>
      </c>
      <c r="R8" s="156">
        <v>1074782080.9554498</v>
      </c>
      <c r="S8" s="156">
        <v>1096358331.2306302</v>
      </c>
      <c r="T8" s="156">
        <v>1118367724.7300847</v>
      </c>
      <c r="U8" s="156">
        <v>1140818956.8040411</v>
      </c>
      <c r="V8" s="156">
        <v>1163720897.3618817</v>
      </c>
      <c r="W8" s="156">
        <v>1187082594.376421</v>
      </c>
      <c r="X8" s="156">
        <v>1210913277.4585273</v>
      </c>
      <c r="Y8" s="156">
        <v>1235222361.5035071</v>
      </c>
      <c r="Z8" s="156">
        <v>1260019450.4106896</v>
      </c>
      <c r="AA8" s="156">
        <v>1285314340.8776841</v>
      </c>
      <c r="AB8" s="156">
        <v>1311117026.2708032</v>
      </c>
      <c r="AC8" s="156">
        <v>1337437700.573189</v>
      </c>
      <c r="AD8" s="156">
        <v>1364286762.4121952</v>
      </c>
      <c r="AE8" s="157">
        <v>1391674819.1676197</v>
      </c>
    </row>
    <row r="9" spans="1:31" x14ac:dyDescent="0.35">
      <c r="A9" s="155" t="s">
        <v>281</v>
      </c>
      <c r="B9" s="158" cm="1">
        <f t="array" ref="B9">Nil</f>
        <v>0</v>
      </c>
      <c r="C9" s="159" cm="1">
        <f t="array" ref="C9">Nil</f>
        <v>0</v>
      </c>
      <c r="D9" s="159" cm="1">
        <f t="array" ref="D9">Nil</f>
        <v>0</v>
      </c>
      <c r="E9" s="159" cm="1">
        <f t="array" ref="E9">Nil</f>
        <v>0</v>
      </c>
      <c r="F9" s="159" cm="1">
        <f t="array" ref="F9">Nil</f>
        <v>0</v>
      </c>
      <c r="G9" s="159" cm="1">
        <f t="array" ref="G9">Nil</f>
        <v>0</v>
      </c>
      <c r="H9" s="159" cm="1">
        <f t="array" ref="H9">Nil</f>
        <v>0</v>
      </c>
      <c r="I9" s="159" cm="1">
        <f t="array" ref="I9">Nil</f>
        <v>0</v>
      </c>
      <c r="J9" s="159" cm="1">
        <f t="array" ref="J9">Nil</f>
        <v>0</v>
      </c>
      <c r="K9" s="159" cm="1">
        <f t="array" ref="K9">Nil</f>
        <v>0</v>
      </c>
      <c r="L9" s="159" cm="1">
        <f t="array" ref="L9">Nil</f>
        <v>0</v>
      </c>
      <c r="M9" s="159" cm="1">
        <f t="array" ref="M9">Nil</f>
        <v>0</v>
      </c>
      <c r="N9" s="159" cm="1">
        <f t="array" ref="N9">Nil</f>
        <v>0</v>
      </c>
      <c r="O9" s="159" cm="1">
        <f t="array" ref="O9">Nil</f>
        <v>0</v>
      </c>
      <c r="P9" s="159" cm="1">
        <f t="array" ref="P9">Nil</f>
        <v>0</v>
      </c>
      <c r="Q9" s="159" cm="1">
        <f t="array" ref="Q9">Nil</f>
        <v>0</v>
      </c>
      <c r="R9" s="159" cm="1">
        <f t="array" ref="R9">Nil</f>
        <v>0</v>
      </c>
      <c r="S9" s="159" cm="1">
        <f t="array" ref="S9">Nil</f>
        <v>0</v>
      </c>
      <c r="T9" s="159" cm="1">
        <f t="array" ref="T9">Nil</f>
        <v>0</v>
      </c>
      <c r="U9" s="159" cm="1">
        <f t="array" ref="U9">Nil</f>
        <v>0</v>
      </c>
      <c r="V9" s="159" cm="1">
        <f t="array" ref="V9">Nil</f>
        <v>0</v>
      </c>
      <c r="W9" s="159" cm="1">
        <f t="array" ref="W9">Nil</f>
        <v>0</v>
      </c>
      <c r="X9" s="159" cm="1">
        <f t="array" ref="X9">Nil</f>
        <v>0</v>
      </c>
      <c r="Y9" s="159" cm="1">
        <f t="array" ref="Y9">Nil</f>
        <v>0</v>
      </c>
      <c r="Z9" s="159" cm="1">
        <f t="array" ref="Z9">Nil</f>
        <v>0</v>
      </c>
      <c r="AA9" s="159" cm="1">
        <f t="array" ref="AA9">Nil</f>
        <v>0</v>
      </c>
      <c r="AB9" s="159" cm="1">
        <f t="array" ref="AB9">Nil</f>
        <v>0</v>
      </c>
      <c r="AC9" s="159" cm="1">
        <f t="array" ref="AC9">Nil</f>
        <v>0</v>
      </c>
      <c r="AD9" s="159" cm="1">
        <f t="array" ref="AD9">Nil</f>
        <v>0</v>
      </c>
      <c r="AE9" s="160">
        <f>Salvage_Val_Pipeline</f>
        <v>15000000</v>
      </c>
    </row>
    <row r="10" spans="1:31" x14ac:dyDescent="0.35">
      <c r="A10" s="182" t="s">
        <v>134</v>
      </c>
      <c r="B10" s="155">
        <f>B7-B8+B9</f>
        <v>102000000</v>
      </c>
      <c r="C10" s="156">
        <f t="shared" ref="C10:AE10" si="0">C7-C8+C9</f>
        <v>104047649.99999988</v>
      </c>
      <c r="D10" s="156">
        <f t="shared" si="0"/>
        <v>106136406.57375002</v>
      </c>
      <c r="E10" s="156">
        <f t="shared" si="0"/>
        <v>108267094.93571806</v>
      </c>
      <c r="F10" s="156">
        <f t="shared" si="0"/>
        <v>110440556.86655247</v>
      </c>
      <c r="G10" s="156">
        <f t="shared" si="0"/>
        <v>112657651.04564834</v>
      </c>
      <c r="H10" s="156">
        <f t="shared" si="0"/>
        <v>114919253.3903898</v>
      </c>
      <c r="I10" s="156">
        <f t="shared" si="0"/>
        <v>117226257.40220177</v>
      </c>
      <c r="J10" s="156">
        <f t="shared" si="0"/>
        <v>119579574.51955092</v>
      </c>
      <c r="K10" s="156">
        <f t="shared" si="0"/>
        <v>121980134.47803092</v>
      </c>
      <c r="L10" s="156">
        <f t="shared" si="0"/>
        <v>124428885.67767727</v>
      </c>
      <c r="M10" s="156">
        <f t="shared" si="0"/>
        <v>126926795.55765676</v>
      </c>
      <c r="N10" s="156">
        <f t="shared" si="0"/>
        <v>129474850.97847652</v>
      </c>
      <c r="O10" s="156">
        <f t="shared" si="0"/>
        <v>132074058.61186957</v>
      </c>
      <c r="P10" s="156">
        <f t="shared" si="0"/>
        <v>134725445.338503</v>
      </c>
      <c r="Q10" s="156">
        <f t="shared" si="0"/>
        <v>137430058.65367305</v>
      </c>
      <c r="R10" s="156">
        <f t="shared" si="0"/>
        <v>140188967.08114552</v>
      </c>
      <c r="S10" s="156">
        <f t="shared" si="0"/>
        <v>143003260.59529948</v>
      </c>
      <c r="T10" s="156">
        <f t="shared" si="0"/>
        <v>145874051.05175018</v>
      </c>
      <c r="U10" s="156">
        <f t="shared" si="0"/>
        <v>148802472.62661386</v>
      </c>
      <c r="V10" s="156">
        <f t="shared" si="0"/>
        <v>151789682.26459289</v>
      </c>
      <c r="W10" s="156">
        <f t="shared" si="0"/>
        <v>154836860.13605499</v>
      </c>
      <c r="X10" s="156">
        <f t="shared" si="0"/>
        <v>157945210.10328627</v>
      </c>
      <c r="Y10" s="156">
        <f t="shared" si="0"/>
        <v>161115960.19610929</v>
      </c>
      <c r="Z10" s="156">
        <f t="shared" si="0"/>
        <v>164350363.09704661</v>
      </c>
      <c r="AA10" s="156">
        <f t="shared" si="0"/>
        <v>167649696.6362195</v>
      </c>
      <c r="AB10" s="156">
        <f t="shared" si="0"/>
        <v>171015264.29619145</v>
      </c>
      <c r="AC10" s="156">
        <f t="shared" si="0"/>
        <v>174448395.72693753</v>
      </c>
      <c r="AD10" s="156">
        <f t="shared" si="0"/>
        <v>177950447.27115607</v>
      </c>
      <c r="AE10" s="157">
        <f t="shared" si="0"/>
        <v>196522802.50012445</v>
      </c>
    </row>
    <row r="11" spans="1:31" x14ac:dyDescent="0.35">
      <c r="A11" s="155"/>
      <c r="B11" s="155"/>
      <c r="AE11" s="157"/>
    </row>
    <row r="12" spans="1:31" x14ac:dyDescent="0.35">
      <c r="A12" s="183" t="s">
        <v>282</v>
      </c>
      <c r="B12" s="155"/>
      <c r="AE12" s="157"/>
    </row>
    <row r="13" spans="1:31" x14ac:dyDescent="0.35">
      <c r="A13" s="155" t="s">
        <v>193</v>
      </c>
      <c r="B13" s="155">
        <f>Insurance_Pipeline</f>
        <v>2200000</v>
      </c>
      <c r="C13" s="156">
        <f t="shared" ref="C13:AE13" si="1">B13*(Increment+Inflation_Annual)</f>
        <v>2233000</v>
      </c>
      <c r="D13" s="156">
        <f t="shared" si="1"/>
        <v>2266495</v>
      </c>
      <c r="E13" s="156">
        <f t="shared" si="1"/>
        <v>2300492.4249999998</v>
      </c>
      <c r="F13" s="156">
        <f t="shared" si="1"/>
        <v>2334999.8113749996</v>
      </c>
      <c r="G13" s="156">
        <f t="shared" si="1"/>
        <v>2370024.8085456244</v>
      </c>
      <c r="H13" s="156">
        <f t="shared" si="1"/>
        <v>2405575.1806738083</v>
      </c>
      <c r="I13" s="156">
        <f t="shared" si="1"/>
        <v>2441658.8083839151</v>
      </c>
      <c r="J13" s="156">
        <f t="shared" si="1"/>
        <v>2478283.6905096737</v>
      </c>
      <c r="K13" s="156">
        <f t="shared" si="1"/>
        <v>2515457.9458673187</v>
      </c>
      <c r="L13" s="156">
        <f t="shared" si="1"/>
        <v>2553189.8150553284</v>
      </c>
      <c r="M13" s="156">
        <f t="shared" si="1"/>
        <v>2591487.6622811579</v>
      </c>
      <c r="N13" s="156">
        <f t="shared" si="1"/>
        <v>2630359.9772153748</v>
      </c>
      <c r="O13" s="156">
        <f t="shared" si="1"/>
        <v>2669815.376873605</v>
      </c>
      <c r="P13" s="156">
        <f t="shared" si="1"/>
        <v>2709862.6075267089</v>
      </c>
      <c r="Q13" s="156">
        <f t="shared" si="1"/>
        <v>2750510.5466396092</v>
      </c>
      <c r="R13" s="156">
        <f t="shared" si="1"/>
        <v>2791768.204839203</v>
      </c>
      <c r="S13" s="156">
        <f t="shared" si="1"/>
        <v>2833644.7279117908</v>
      </c>
      <c r="T13" s="156">
        <f t="shared" si="1"/>
        <v>2876149.3988304674</v>
      </c>
      <c r="U13" s="156">
        <f t="shared" si="1"/>
        <v>2919291.639812924</v>
      </c>
      <c r="V13" s="156">
        <f t="shared" si="1"/>
        <v>2963081.0144101176</v>
      </c>
      <c r="W13" s="156">
        <f t="shared" si="1"/>
        <v>3007527.2296262691</v>
      </c>
      <c r="X13" s="156">
        <f t="shared" si="1"/>
        <v>3052640.138070663</v>
      </c>
      <c r="Y13" s="156">
        <f t="shared" si="1"/>
        <v>3098429.7401417228</v>
      </c>
      <c r="Z13" s="156">
        <f t="shared" si="1"/>
        <v>3144906.1862438484</v>
      </c>
      <c r="AA13" s="156">
        <f t="shared" si="1"/>
        <v>3192079.7790375059</v>
      </c>
      <c r="AB13" s="156">
        <f t="shared" si="1"/>
        <v>3239960.9757230682</v>
      </c>
      <c r="AC13" s="156">
        <f t="shared" si="1"/>
        <v>3288560.3903589142</v>
      </c>
      <c r="AD13" s="156">
        <f t="shared" si="1"/>
        <v>3337888.7962142974</v>
      </c>
      <c r="AE13" s="157">
        <f t="shared" si="1"/>
        <v>3387957.1281575114</v>
      </c>
    </row>
    <row r="14" spans="1:31" x14ac:dyDescent="0.35">
      <c r="A14" s="155" t="s">
        <v>283</v>
      </c>
      <c r="B14" s="155">
        <f>Operations_Mgmt</f>
        <v>1000000</v>
      </c>
      <c r="C14" s="156">
        <f t="shared" ref="C14:AE14" si="2">B14*(Increment+Inflation_Annual)</f>
        <v>1014999.9999999999</v>
      </c>
      <c r="D14" s="156">
        <f t="shared" si="2"/>
        <v>1030224.9999999998</v>
      </c>
      <c r="E14" s="156">
        <f t="shared" si="2"/>
        <v>1045678.3749999997</v>
      </c>
      <c r="F14" s="156">
        <f t="shared" si="2"/>
        <v>1061363.5506249995</v>
      </c>
      <c r="G14" s="156">
        <f t="shared" si="2"/>
        <v>1077284.0038843744</v>
      </c>
      <c r="H14" s="156">
        <f t="shared" si="2"/>
        <v>1093443.2639426398</v>
      </c>
      <c r="I14" s="156">
        <f t="shared" si="2"/>
        <v>1109844.9129017794</v>
      </c>
      <c r="J14" s="156">
        <f t="shared" si="2"/>
        <v>1126492.5865953059</v>
      </c>
      <c r="K14" s="156">
        <f t="shared" si="2"/>
        <v>1143389.9753942355</v>
      </c>
      <c r="L14" s="156">
        <f t="shared" si="2"/>
        <v>1160540.8250251489</v>
      </c>
      <c r="M14" s="156">
        <f t="shared" si="2"/>
        <v>1177948.9374005261</v>
      </c>
      <c r="N14" s="156">
        <f t="shared" si="2"/>
        <v>1195618.171461534</v>
      </c>
      <c r="O14" s="156">
        <f t="shared" si="2"/>
        <v>1213552.444033457</v>
      </c>
      <c r="P14" s="156">
        <f t="shared" si="2"/>
        <v>1231755.7306939587</v>
      </c>
      <c r="Q14" s="156">
        <f t="shared" si="2"/>
        <v>1250232.0666543681</v>
      </c>
      <c r="R14" s="156">
        <f t="shared" si="2"/>
        <v>1268985.5476541836</v>
      </c>
      <c r="S14" s="156">
        <f t="shared" si="2"/>
        <v>1288020.3308689962</v>
      </c>
      <c r="T14" s="156">
        <f t="shared" si="2"/>
        <v>1307340.635832031</v>
      </c>
      <c r="U14" s="156">
        <f t="shared" si="2"/>
        <v>1326950.7453695114</v>
      </c>
      <c r="V14" s="156">
        <f t="shared" si="2"/>
        <v>1346855.0065500541</v>
      </c>
      <c r="W14" s="156">
        <f t="shared" si="2"/>
        <v>1367057.8316483048</v>
      </c>
      <c r="X14" s="156">
        <f t="shared" si="2"/>
        <v>1387563.6991230294</v>
      </c>
      <c r="Y14" s="156">
        <f t="shared" si="2"/>
        <v>1408377.1546098746</v>
      </c>
      <c r="Z14" s="156">
        <f t="shared" si="2"/>
        <v>1429502.8119290227</v>
      </c>
      <c r="AA14" s="156">
        <f t="shared" si="2"/>
        <v>1450945.3541079578</v>
      </c>
      <c r="AB14" s="156">
        <f t="shared" si="2"/>
        <v>1472709.5344195771</v>
      </c>
      <c r="AC14" s="156">
        <f t="shared" si="2"/>
        <v>1494800.1774358705</v>
      </c>
      <c r="AD14" s="156">
        <f t="shared" si="2"/>
        <v>1517222.1800974084</v>
      </c>
      <c r="AE14" s="157">
        <f t="shared" si="2"/>
        <v>1539980.5127988693</v>
      </c>
    </row>
    <row r="15" spans="1:31" x14ac:dyDescent="0.35">
      <c r="A15" s="155" t="s">
        <v>284</v>
      </c>
      <c r="B15" s="155" cm="1">
        <f t="array" ref="B15:AE15">TRANSPOSE('Pipeline Schedule'!C84:C113)</f>
        <v>391666.66666666663</v>
      </c>
      <c r="C15" s="156">
        <v>397541.66666666663</v>
      </c>
      <c r="D15" s="156">
        <v>403504.79166666657</v>
      </c>
      <c r="E15" s="156">
        <v>409557.36354166653</v>
      </c>
      <c r="F15" s="156">
        <v>415700.72399479151</v>
      </c>
      <c r="G15" s="156">
        <v>421936.23485471332</v>
      </c>
      <c r="H15" s="156">
        <v>428265.27837753395</v>
      </c>
      <c r="I15" s="156">
        <v>434689.25755319686</v>
      </c>
      <c r="J15" s="156">
        <v>441209.59641649481</v>
      </c>
      <c r="K15" s="156">
        <v>447827.74036274222</v>
      </c>
      <c r="L15" s="156">
        <v>454545.15646818333</v>
      </c>
      <c r="M15" s="156">
        <v>461363.33381520608</v>
      </c>
      <c r="N15" s="156">
        <v>468283.78382243408</v>
      </c>
      <c r="O15" s="156">
        <v>475308.04057977052</v>
      </c>
      <c r="P15" s="156">
        <v>482437.661188467</v>
      </c>
      <c r="Q15" s="156">
        <v>489674.22610629397</v>
      </c>
      <c r="R15" s="156">
        <v>497019.33949788829</v>
      </c>
      <c r="S15" s="156">
        <v>504474.62959035655</v>
      </c>
      <c r="T15" s="156">
        <v>512041.74903421185</v>
      </c>
      <c r="U15" s="156">
        <v>519722.37526972499</v>
      </c>
      <c r="V15" s="156">
        <v>527518.21089877072</v>
      </c>
      <c r="W15" s="156">
        <v>535430.98406225233</v>
      </c>
      <c r="X15" s="156">
        <v>543462.4488231861</v>
      </c>
      <c r="Y15" s="156">
        <v>551614.38555553381</v>
      </c>
      <c r="Z15" s="156">
        <v>559888.60133886675</v>
      </c>
      <c r="AA15" s="156">
        <v>568286.9303589497</v>
      </c>
      <c r="AB15" s="156">
        <v>576811.23431433388</v>
      </c>
      <c r="AC15" s="156">
        <v>585463.40282904892</v>
      </c>
      <c r="AD15" s="156">
        <v>594245.35387148452</v>
      </c>
      <c r="AE15" s="157">
        <v>603159.03417955677</v>
      </c>
    </row>
    <row r="16" spans="1:31" x14ac:dyDescent="0.35">
      <c r="A16" s="155" t="s">
        <v>285</v>
      </c>
      <c r="B16" s="155" cm="1">
        <f t="array" ref="B16">General_Main_Eng</f>
        <v>12000000</v>
      </c>
      <c r="C16" s="156">
        <f t="shared" ref="C16:AE16" si="3">B16*(Increment+Inflation_Annual)</f>
        <v>12179999.999999998</v>
      </c>
      <c r="D16" s="156">
        <f t="shared" si="3"/>
        <v>12362699.999999996</v>
      </c>
      <c r="E16" s="156">
        <f t="shared" si="3"/>
        <v>12548140.499999994</v>
      </c>
      <c r="F16" s="156">
        <f t="shared" si="3"/>
        <v>12736362.607499992</v>
      </c>
      <c r="G16" s="156">
        <f t="shared" si="3"/>
        <v>12927408.046612492</v>
      </c>
      <c r="H16" s="156">
        <f t="shared" si="3"/>
        <v>13121319.167311678</v>
      </c>
      <c r="I16" s="156">
        <f t="shared" si="3"/>
        <v>13318138.954821352</v>
      </c>
      <c r="J16" s="156">
        <f t="shared" si="3"/>
        <v>13517911.03914367</v>
      </c>
      <c r="K16" s="156">
        <f t="shared" si="3"/>
        <v>13720679.704730824</v>
      </c>
      <c r="L16" s="156">
        <f t="shared" si="3"/>
        <v>13926489.900301784</v>
      </c>
      <c r="M16" s="156">
        <f t="shared" si="3"/>
        <v>14135387.248806309</v>
      </c>
      <c r="N16" s="156">
        <f t="shared" si="3"/>
        <v>14347418.057538401</v>
      </c>
      <c r="O16" s="156">
        <f t="shared" si="3"/>
        <v>14562629.328401476</v>
      </c>
      <c r="P16" s="156">
        <f t="shared" si="3"/>
        <v>14781068.768327497</v>
      </c>
      <c r="Q16" s="156">
        <f t="shared" si="3"/>
        <v>15002784.799852408</v>
      </c>
      <c r="R16" s="156">
        <f t="shared" si="3"/>
        <v>15227826.571850194</v>
      </c>
      <c r="S16" s="156">
        <f t="shared" si="3"/>
        <v>15456243.970427945</v>
      </c>
      <c r="T16" s="156">
        <f t="shared" si="3"/>
        <v>15688087.629984362</v>
      </c>
      <c r="U16" s="156">
        <f t="shared" si="3"/>
        <v>15923408.944434127</v>
      </c>
      <c r="V16" s="156">
        <f t="shared" si="3"/>
        <v>16162260.078600638</v>
      </c>
      <c r="W16" s="156">
        <f t="shared" si="3"/>
        <v>16404693.979779646</v>
      </c>
      <c r="X16" s="156">
        <f t="shared" si="3"/>
        <v>16650764.389476338</v>
      </c>
      <c r="Y16" s="156">
        <f t="shared" si="3"/>
        <v>16900525.855318483</v>
      </c>
      <c r="Z16" s="156">
        <f t="shared" si="3"/>
        <v>17154033.74314826</v>
      </c>
      <c r="AA16" s="156">
        <f t="shared" si="3"/>
        <v>17411344.249295481</v>
      </c>
      <c r="AB16" s="156">
        <f t="shared" si="3"/>
        <v>17672514.413034912</v>
      </c>
      <c r="AC16" s="156">
        <f t="shared" si="3"/>
        <v>17937602.129230436</v>
      </c>
      <c r="AD16" s="156">
        <f t="shared" si="3"/>
        <v>18206666.161168892</v>
      </c>
      <c r="AE16" s="157">
        <f t="shared" si="3"/>
        <v>18479766.153586425</v>
      </c>
    </row>
    <row r="17" spans="1:31" x14ac:dyDescent="0.35">
      <c r="A17" s="155" t="s">
        <v>198</v>
      </c>
      <c r="B17" s="158">
        <f>General_Pipeline</f>
        <v>800000</v>
      </c>
      <c r="C17" s="159">
        <f t="shared" ref="C17:AE17" si="4">B17*(Increment+Inflation_Carbon_Offset)</f>
        <v>831199.99999999988</v>
      </c>
      <c r="D17" s="159">
        <f t="shared" si="4"/>
        <v>863616.79999999981</v>
      </c>
      <c r="E17" s="159">
        <f t="shared" si="4"/>
        <v>897297.85519999976</v>
      </c>
      <c r="F17" s="159">
        <f t="shared" si="4"/>
        <v>932292.47155279969</v>
      </c>
      <c r="G17" s="159">
        <f t="shared" si="4"/>
        <v>968651.87794335885</v>
      </c>
      <c r="H17" s="159">
        <f t="shared" si="4"/>
        <v>1006429.3011831498</v>
      </c>
      <c r="I17" s="159">
        <f t="shared" si="4"/>
        <v>1045680.0439292926</v>
      </c>
      <c r="J17" s="159">
        <f t="shared" si="4"/>
        <v>1086461.565642535</v>
      </c>
      <c r="K17" s="159">
        <f t="shared" si="4"/>
        <v>1128833.5667025938</v>
      </c>
      <c r="L17" s="159">
        <f t="shared" si="4"/>
        <v>1172858.0758039949</v>
      </c>
      <c r="M17" s="159">
        <f t="shared" si="4"/>
        <v>1218599.5407603506</v>
      </c>
      <c r="N17" s="159">
        <f t="shared" si="4"/>
        <v>1266124.9228500042</v>
      </c>
      <c r="O17" s="159">
        <f t="shared" si="4"/>
        <v>1315503.7948411542</v>
      </c>
      <c r="P17" s="159">
        <f t="shared" si="4"/>
        <v>1366808.4428399592</v>
      </c>
      <c r="Q17" s="159">
        <f t="shared" si="4"/>
        <v>1420113.9721107176</v>
      </c>
      <c r="R17" s="159">
        <f t="shared" si="4"/>
        <v>1475498.4170230355</v>
      </c>
      <c r="S17" s="159">
        <f t="shared" si="4"/>
        <v>1533042.8552869337</v>
      </c>
      <c r="T17" s="159">
        <f t="shared" si="4"/>
        <v>1592831.5266431239</v>
      </c>
      <c r="U17" s="159">
        <f t="shared" si="4"/>
        <v>1654951.9561822056</v>
      </c>
      <c r="V17" s="159">
        <f t="shared" si="4"/>
        <v>1719495.0824733116</v>
      </c>
      <c r="W17" s="159">
        <f t="shared" si="4"/>
        <v>1786555.3906897707</v>
      </c>
      <c r="X17" s="159">
        <f t="shared" si="4"/>
        <v>1856231.0509266716</v>
      </c>
      <c r="Y17" s="159">
        <f t="shared" si="4"/>
        <v>1928624.0619128116</v>
      </c>
      <c r="Z17" s="159">
        <f t="shared" si="4"/>
        <v>2003840.400327411</v>
      </c>
      <c r="AA17" s="159">
        <f t="shared" si="4"/>
        <v>2081990.17594018</v>
      </c>
      <c r="AB17" s="159">
        <f t="shared" si="4"/>
        <v>2163187.7928018468</v>
      </c>
      <c r="AC17" s="159">
        <f t="shared" si="4"/>
        <v>2247552.1167211188</v>
      </c>
      <c r="AD17" s="159">
        <f t="shared" si="4"/>
        <v>2335206.6492732423</v>
      </c>
      <c r="AE17" s="160">
        <f t="shared" si="4"/>
        <v>2426279.7085948987</v>
      </c>
    </row>
    <row r="18" spans="1:31" x14ac:dyDescent="0.35">
      <c r="A18" s="182" t="s">
        <v>134</v>
      </c>
      <c r="B18" s="155">
        <f>SUM(B13:B16)</f>
        <v>15591666.666666666</v>
      </c>
      <c r="C18" s="156">
        <f t="shared" ref="C18:AE18" si="5">SUM(C13:C16)</f>
        <v>15825541.666666664</v>
      </c>
      <c r="D18" s="156">
        <f t="shared" si="5"/>
        <v>16062924.791666662</v>
      </c>
      <c r="E18" s="156">
        <f t="shared" si="5"/>
        <v>16303868.66354166</v>
      </c>
      <c r="F18" s="156">
        <f t="shared" si="5"/>
        <v>16548426.693494782</v>
      </c>
      <c r="G18" s="156">
        <f t="shared" si="5"/>
        <v>16796653.093897205</v>
      </c>
      <c r="H18" s="156">
        <f t="shared" si="5"/>
        <v>17048602.890305661</v>
      </c>
      <c r="I18" s="156">
        <f t="shared" si="5"/>
        <v>17304331.933660243</v>
      </c>
      <c r="J18" s="156">
        <f t="shared" si="5"/>
        <v>17563896.912665144</v>
      </c>
      <c r="K18" s="156">
        <f t="shared" si="5"/>
        <v>17827355.366355121</v>
      </c>
      <c r="L18" s="156">
        <f t="shared" si="5"/>
        <v>18094765.696850445</v>
      </c>
      <c r="M18" s="156">
        <f t="shared" si="5"/>
        <v>18366187.182303198</v>
      </c>
      <c r="N18" s="156">
        <f t="shared" si="5"/>
        <v>18641679.990037743</v>
      </c>
      <c r="O18" s="156">
        <f t="shared" si="5"/>
        <v>18921305.18988831</v>
      </c>
      <c r="P18" s="156">
        <f t="shared" si="5"/>
        <v>19205124.767736632</v>
      </c>
      <c r="Q18" s="156">
        <f t="shared" si="5"/>
        <v>19493201.639252678</v>
      </c>
      <c r="R18" s="156">
        <f t="shared" si="5"/>
        <v>19785599.663841467</v>
      </c>
      <c r="S18" s="156">
        <f t="shared" si="5"/>
        <v>20082383.658799089</v>
      </c>
      <c r="T18" s="156">
        <f t="shared" si="5"/>
        <v>20383619.413681071</v>
      </c>
      <c r="U18" s="156">
        <f t="shared" si="5"/>
        <v>20689373.704886287</v>
      </c>
      <c r="V18" s="156">
        <f t="shared" si="5"/>
        <v>20999714.31045958</v>
      </c>
      <c r="W18" s="156">
        <f t="shared" si="5"/>
        <v>21314710.025116473</v>
      </c>
      <c r="X18" s="156">
        <f t="shared" si="5"/>
        <v>21634430.675493218</v>
      </c>
      <c r="Y18" s="156">
        <f t="shared" si="5"/>
        <v>21958947.135625616</v>
      </c>
      <c r="Z18" s="156">
        <f t="shared" si="5"/>
        <v>22288331.342659999</v>
      </c>
      <c r="AA18" s="156">
        <f t="shared" si="5"/>
        <v>22622656.312799893</v>
      </c>
      <c r="AB18" s="156">
        <f t="shared" si="5"/>
        <v>22961996.157491893</v>
      </c>
      <c r="AC18" s="156">
        <f t="shared" si="5"/>
        <v>23306426.099854268</v>
      </c>
      <c r="AD18" s="156">
        <f t="shared" si="5"/>
        <v>23656022.491352081</v>
      </c>
      <c r="AE18" s="157">
        <f t="shared" si="5"/>
        <v>24010862.828722361</v>
      </c>
    </row>
    <row r="19" spans="1:31" x14ac:dyDescent="0.35">
      <c r="A19" s="155"/>
      <c r="B19" s="155"/>
      <c r="AE19" s="157"/>
    </row>
    <row r="20" spans="1:31" x14ac:dyDescent="0.35">
      <c r="A20" s="184" t="s">
        <v>286</v>
      </c>
      <c r="B20" s="173">
        <f>B10-B18</f>
        <v>86408333.333333328</v>
      </c>
      <c r="C20" s="161">
        <f t="shared" ref="C20:AE20" si="6">C10-C18</f>
        <v>88222108.333333224</v>
      </c>
      <c r="D20" s="161">
        <f t="shared" si="6"/>
        <v>90073481.782083362</v>
      </c>
      <c r="E20" s="161">
        <f t="shared" si="6"/>
        <v>91963226.2721764</v>
      </c>
      <c r="F20" s="161">
        <f t="shared" si="6"/>
        <v>93892130.17305769</v>
      </c>
      <c r="G20" s="161">
        <f t="shared" si="6"/>
        <v>95860997.951751128</v>
      </c>
      <c r="H20" s="161">
        <f t="shared" si="6"/>
        <v>97870650.500084132</v>
      </c>
      <c r="I20" s="161">
        <f t="shared" si="6"/>
        <v>99921925.468541533</v>
      </c>
      <c r="J20" s="161">
        <f t="shared" si="6"/>
        <v>102015677.60688578</v>
      </c>
      <c r="K20" s="161">
        <f t="shared" si="6"/>
        <v>104152779.1116758</v>
      </c>
      <c r="L20" s="161">
        <f t="shared" si="6"/>
        <v>106334119.98082682</v>
      </c>
      <c r="M20" s="161">
        <f t="shared" si="6"/>
        <v>108560608.37535357</v>
      </c>
      <c r="N20" s="161">
        <f t="shared" si="6"/>
        <v>110833170.98843879</v>
      </c>
      <c r="O20" s="161">
        <f t="shared" si="6"/>
        <v>113152753.42198126</v>
      </c>
      <c r="P20" s="161">
        <f t="shared" si="6"/>
        <v>115520320.57076637</v>
      </c>
      <c r="Q20" s="161">
        <f t="shared" si="6"/>
        <v>117936857.01442038</v>
      </c>
      <c r="R20" s="161">
        <f t="shared" si="6"/>
        <v>120403367.41730405</v>
      </c>
      <c r="S20" s="161">
        <f t="shared" si="6"/>
        <v>122920876.9365004</v>
      </c>
      <c r="T20" s="161">
        <f t="shared" si="6"/>
        <v>125490431.63806911</v>
      </c>
      <c r="U20" s="161">
        <f t="shared" si="6"/>
        <v>128113098.92172757</v>
      </c>
      <c r="V20" s="161">
        <f t="shared" si="6"/>
        <v>130789967.9541333</v>
      </c>
      <c r="W20" s="161">
        <f t="shared" si="6"/>
        <v>133522150.11093852</v>
      </c>
      <c r="X20" s="161">
        <f t="shared" si="6"/>
        <v>136310779.42779306</v>
      </c>
      <c r="Y20" s="161">
        <f t="shared" si="6"/>
        <v>139157013.06048369</v>
      </c>
      <c r="Z20" s="161">
        <f t="shared" si="6"/>
        <v>142062031.7543866</v>
      </c>
      <c r="AA20" s="161">
        <f t="shared" si="6"/>
        <v>145027040.3234196</v>
      </c>
      <c r="AB20" s="161">
        <f t="shared" si="6"/>
        <v>148053268.13869956</v>
      </c>
      <c r="AC20" s="161">
        <f t="shared" si="6"/>
        <v>151141969.62708327</v>
      </c>
      <c r="AD20" s="161">
        <f t="shared" si="6"/>
        <v>154294424.77980399</v>
      </c>
      <c r="AE20" s="162">
        <f t="shared" si="6"/>
        <v>172511939.6714021</v>
      </c>
    </row>
    <row r="22" spans="1:31" x14ac:dyDescent="0.35">
      <c r="A22" s="169" t="s">
        <v>287</v>
      </c>
    </row>
    <row r="23" spans="1:31" x14ac:dyDescent="0.35">
      <c r="A23" s="174"/>
      <c r="B23" s="170" t="s">
        <v>288</v>
      </c>
      <c r="C23" s="171" t="s">
        <v>249</v>
      </c>
      <c r="D23" s="171" t="s">
        <v>250</v>
      </c>
      <c r="E23" s="171" t="s">
        <v>251</v>
      </c>
      <c r="F23" s="171" t="s">
        <v>252</v>
      </c>
      <c r="G23" s="171" t="s">
        <v>253</v>
      </c>
      <c r="H23" s="171" t="s">
        <v>254</v>
      </c>
      <c r="I23" s="171" t="s">
        <v>255</v>
      </c>
      <c r="J23" s="171" t="s">
        <v>256</v>
      </c>
      <c r="K23" s="171" t="s">
        <v>257</v>
      </c>
      <c r="L23" s="171" t="s">
        <v>258</v>
      </c>
      <c r="M23" s="171" t="s">
        <v>259</v>
      </c>
      <c r="N23" s="171" t="s">
        <v>260</v>
      </c>
      <c r="O23" s="171" t="s">
        <v>261</v>
      </c>
      <c r="P23" s="171" t="s">
        <v>262</v>
      </c>
      <c r="Q23" s="171" t="s">
        <v>263</v>
      </c>
      <c r="R23" s="171" t="s">
        <v>264</v>
      </c>
      <c r="S23" s="171" t="s">
        <v>265</v>
      </c>
      <c r="T23" s="171" t="s">
        <v>266</v>
      </c>
      <c r="U23" s="171" t="s">
        <v>267</v>
      </c>
      <c r="V23" s="171" t="s">
        <v>268</v>
      </c>
      <c r="W23" s="171" t="s">
        <v>269</v>
      </c>
      <c r="X23" s="171" t="s">
        <v>270</v>
      </c>
      <c r="Y23" s="171" t="s">
        <v>271</v>
      </c>
      <c r="Z23" s="171" t="s">
        <v>272</v>
      </c>
      <c r="AA23" s="171" t="s">
        <v>273</v>
      </c>
      <c r="AB23" s="171" t="s">
        <v>274</v>
      </c>
      <c r="AC23" s="171" t="s">
        <v>275</v>
      </c>
      <c r="AD23" s="171" t="s">
        <v>276</v>
      </c>
      <c r="AE23" s="172" t="s">
        <v>277</v>
      </c>
    </row>
    <row r="24" spans="1:31" x14ac:dyDescent="0.35">
      <c r="A24" s="181" t="s">
        <v>278</v>
      </c>
      <c r="B24" s="155"/>
      <c r="AE24" s="157"/>
    </row>
    <row r="25" spans="1:31" x14ac:dyDescent="0.35">
      <c r="A25" s="155" t="s">
        <v>279</v>
      </c>
      <c r="B25" s="155" cm="1">
        <f t="array" ref="B25:AE25">TRANSPOSE('Tanker Schedule'!D82:D111)</f>
        <v>793240000</v>
      </c>
      <c r="C25" s="156">
        <v>809164292.99999988</v>
      </c>
      <c r="D25" s="156">
        <v>825408266.18197453</v>
      </c>
      <c r="E25" s="156">
        <v>841978337.12557757</v>
      </c>
      <c r="F25" s="156">
        <v>858881052.24337327</v>
      </c>
      <c r="G25" s="156">
        <v>876123089.36715889</v>
      </c>
      <c r="H25" s="156">
        <v>893711260.38620424</v>
      </c>
      <c r="I25" s="156">
        <v>911652513.93845713</v>
      </c>
      <c r="J25" s="156">
        <v>929953938.15577149</v>
      </c>
      <c r="K25" s="156">
        <v>948622763.4642483</v>
      </c>
      <c r="L25" s="156">
        <v>967666365.44079304</v>
      </c>
      <c r="M25" s="156">
        <v>987092267.72701669</v>
      </c>
      <c r="N25" s="156">
        <v>1006908145.0016363</v>
      </c>
      <c r="O25" s="156">
        <v>1027121826.0125438</v>
      </c>
      <c r="P25" s="156">
        <v>1047741296.6697453</v>
      </c>
      <c r="Q25" s="156">
        <v>1068774703.2003903</v>
      </c>
      <c r="R25" s="156">
        <v>1090230355.3671379</v>
      </c>
      <c r="S25" s="156">
        <v>1112116729.7511327</v>
      </c>
      <c r="T25" s="156">
        <v>1134442473.1008863</v>
      </c>
      <c r="U25" s="156">
        <v>1157216405.7483866</v>
      </c>
      <c r="V25" s="156">
        <v>1180447525.093785</v>
      </c>
      <c r="W25" s="156">
        <v>1204145009.1600425</v>
      </c>
      <c r="X25" s="156">
        <v>1228318220.2189298</v>
      </c>
      <c r="Y25" s="156">
        <v>1252976708.4898248</v>
      </c>
      <c r="Z25" s="156">
        <v>1278130215.9127579</v>
      </c>
      <c r="AA25" s="156">
        <v>1303788679.9972062</v>
      </c>
      <c r="AB25" s="156">
        <v>1329962237.7481496</v>
      </c>
      <c r="AC25" s="156">
        <v>1356661229.6709435</v>
      </c>
      <c r="AD25" s="156">
        <v>1383896203.8565872</v>
      </c>
      <c r="AE25" s="157">
        <v>1411677920.1490083</v>
      </c>
    </row>
    <row r="26" spans="1:31" x14ac:dyDescent="0.35">
      <c r="A26" s="155" t="s">
        <v>280</v>
      </c>
      <c r="B26" s="155" cm="1">
        <f t="array" ref="B26:AE26">TRANSPOSE('Tanker Schedule'!I82:I111)</f>
        <v>623260000</v>
      </c>
      <c r="C26" s="156">
        <v>635771944.49999988</v>
      </c>
      <c r="D26" s="156">
        <v>648535066.28583717</v>
      </c>
      <c r="E26" s="156">
        <v>661554407.74152517</v>
      </c>
      <c r="F26" s="156">
        <v>674835112.4769361</v>
      </c>
      <c r="G26" s="156">
        <v>688382427.35991049</v>
      </c>
      <c r="H26" s="156">
        <v>702201704.58916044</v>
      </c>
      <c r="I26" s="156">
        <v>716298403.8087877</v>
      </c>
      <c r="J26" s="156">
        <v>730678094.26524901</v>
      </c>
      <c r="K26" s="156">
        <v>745346457.00762367</v>
      </c>
      <c r="L26" s="156">
        <v>760309287.13205159</v>
      </c>
      <c r="M26" s="156">
        <v>775572496.07122743</v>
      </c>
      <c r="N26" s="156">
        <v>791142113.92985702</v>
      </c>
      <c r="O26" s="156">
        <v>807024291.86699879</v>
      </c>
      <c r="P26" s="156">
        <v>823225304.52622855</v>
      </c>
      <c r="Q26" s="156">
        <v>839751552.51459241</v>
      </c>
      <c r="R26" s="156">
        <v>856609564.93132257</v>
      </c>
      <c r="S26" s="156">
        <v>873806001.94731855</v>
      </c>
      <c r="T26" s="156">
        <v>891347657.43641078</v>
      </c>
      <c r="U26" s="156">
        <v>909241461.65944672</v>
      </c>
      <c r="V26" s="156">
        <v>927494484.00225973</v>
      </c>
      <c r="W26" s="156">
        <v>946113935.76860487</v>
      </c>
      <c r="X26" s="156">
        <v>965107173.02915919</v>
      </c>
      <c r="Y26" s="156">
        <v>984481699.5277195</v>
      </c>
      <c r="Z26" s="156">
        <v>1004245169.6457382</v>
      </c>
      <c r="AA26" s="156">
        <v>1024405391.4263763</v>
      </c>
      <c r="AB26" s="156">
        <v>1044970329.6592605</v>
      </c>
      <c r="AC26" s="156">
        <v>1065948109.0271699</v>
      </c>
      <c r="AD26" s="156">
        <v>1087347017.3158901</v>
      </c>
      <c r="AE26" s="157">
        <v>1109175508.6885064</v>
      </c>
    </row>
    <row r="27" spans="1:31" x14ac:dyDescent="0.35">
      <c r="A27" s="155" t="s">
        <v>281</v>
      </c>
      <c r="B27" s="155" cm="1">
        <f t="array" ref="B27">Nil</f>
        <v>0</v>
      </c>
      <c r="C27" s="156" cm="1">
        <f t="array" ref="C27">Nil</f>
        <v>0</v>
      </c>
      <c r="D27" s="156" cm="1">
        <f t="array" ref="D27">Nil</f>
        <v>0</v>
      </c>
      <c r="E27" s="156" cm="1">
        <f t="array" ref="E27">Nil</f>
        <v>0</v>
      </c>
      <c r="F27" s="156" cm="1">
        <f t="array" ref="F27">Nil</f>
        <v>0</v>
      </c>
      <c r="G27" s="156" cm="1">
        <f t="array" ref="G27">Nil</f>
        <v>0</v>
      </c>
      <c r="H27" s="156" cm="1">
        <f t="array" ref="H27">Nil</f>
        <v>0</v>
      </c>
      <c r="I27" s="156" cm="1">
        <f t="array" ref="I27">Nil</f>
        <v>0</v>
      </c>
      <c r="J27" s="156" cm="1">
        <f t="array" ref="J27">Nil</f>
        <v>0</v>
      </c>
      <c r="K27" s="156" cm="1">
        <f t="array" ref="K27">Nil</f>
        <v>0</v>
      </c>
      <c r="L27" s="156" cm="1">
        <f t="array" ref="L27">Nil</f>
        <v>0</v>
      </c>
      <c r="M27" s="156" cm="1">
        <f t="array" ref="M27">Nil</f>
        <v>0</v>
      </c>
      <c r="N27" s="156" cm="1">
        <f t="array" ref="N27">Nil</f>
        <v>0</v>
      </c>
      <c r="O27" s="156" cm="1">
        <f t="array" ref="O27">Nil</f>
        <v>0</v>
      </c>
      <c r="P27" s="156" cm="1">
        <f t="array" ref="P27">Nil</f>
        <v>0</v>
      </c>
      <c r="Q27" s="156" cm="1">
        <f t="array" ref="Q27">Nil</f>
        <v>0</v>
      </c>
      <c r="R27" s="156" cm="1">
        <f t="array" ref="R27">Nil</f>
        <v>0</v>
      </c>
      <c r="S27" s="156" cm="1">
        <f t="array" ref="S27">Nil</f>
        <v>0</v>
      </c>
      <c r="T27" s="156" cm="1">
        <f t="array" ref="T27">Nil</f>
        <v>0</v>
      </c>
      <c r="U27" s="156" cm="1">
        <f t="array" ref="U27">Nil</f>
        <v>0</v>
      </c>
      <c r="V27" s="156" cm="1">
        <f t="array" ref="V27">Nil</f>
        <v>0</v>
      </c>
      <c r="W27" s="156" cm="1">
        <f t="array" ref="W27">Nil</f>
        <v>0</v>
      </c>
      <c r="X27" s="156" cm="1">
        <f t="array" ref="X27">Nil</f>
        <v>0</v>
      </c>
      <c r="Y27" s="156" cm="1">
        <f t="array" ref="Y27">Nil</f>
        <v>0</v>
      </c>
      <c r="Z27" s="156" cm="1">
        <f t="array" ref="Z27">Nil</f>
        <v>0</v>
      </c>
      <c r="AA27" s="156" cm="1">
        <f t="array" ref="AA27">Nil</f>
        <v>0</v>
      </c>
      <c r="AB27" s="156" cm="1">
        <f t="array" ref="AB27">Nil</f>
        <v>0</v>
      </c>
      <c r="AC27" s="156" cm="1">
        <f t="array" ref="AC27">Nil</f>
        <v>0</v>
      </c>
      <c r="AD27" s="156" cm="1">
        <f t="array" ref="AD27">Nil</f>
        <v>0</v>
      </c>
      <c r="AE27" s="157">
        <f>Salvage_Val_Tanker</f>
        <v>20000000</v>
      </c>
    </row>
    <row r="28" spans="1:31" x14ac:dyDescent="0.35">
      <c r="A28" s="182" t="s">
        <v>134</v>
      </c>
      <c r="B28" s="174">
        <f>B25-B26+B27</f>
        <v>169980000</v>
      </c>
      <c r="C28" s="163">
        <f t="shared" ref="C28" si="7">C25-C26+C27</f>
        <v>173392348.5</v>
      </c>
      <c r="D28" s="163">
        <f t="shared" ref="D28" si="8">D25-D26+D27</f>
        <v>176873199.89613736</v>
      </c>
      <c r="E28" s="163">
        <f t="shared" ref="E28" si="9">E25-E26+E27</f>
        <v>180423929.3840524</v>
      </c>
      <c r="F28" s="163">
        <f t="shared" ref="F28" si="10">F25-F26+F27</f>
        <v>184045939.76643717</v>
      </c>
      <c r="G28" s="163">
        <f t="shared" ref="G28" si="11">G25-G26+G27</f>
        <v>187740662.0072484</v>
      </c>
      <c r="H28" s="163">
        <f t="shared" ref="H28" si="12">H25-H26+H27</f>
        <v>191509555.7970438</v>
      </c>
      <c r="I28" s="163">
        <f t="shared" ref="I28" si="13">I25-I26+I27</f>
        <v>195354110.12966943</v>
      </c>
      <c r="J28" s="163">
        <f t="shared" ref="J28" si="14">J25-J26+J27</f>
        <v>199275843.89052248</v>
      </c>
      <c r="K28" s="163">
        <f t="shared" ref="K28" si="15">K25-K26+K27</f>
        <v>203276306.45662463</v>
      </c>
      <c r="L28" s="163">
        <f t="shared" ref="L28" si="16">L25-L26+L27</f>
        <v>207357078.30874145</v>
      </c>
      <c r="M28" s="163">
        <f t="shared" ref="M28" si="17">M25-M26+M27</f>
        <v>211519771.65578926</v>
      </c>
      <c r="N28" s="163">
        <f t="shared" ref="N28" si="18">N25-N26+N27</f>
        <v>215766031.07177925</v>
      </c>
      <c r="O28" s="163">
        <f t="shared" ref="O28" si="19">O25-O26+O27</f>
        <v>220097534.14554501</v>
      </c>
      <c r="P28" s="163">
        <f t="shared" ref="P28" si="20">P25-P26+P27</f>
        <v>224515992.14351678</v>
      </c>
      <c r="Q28" s="163">
        <f t="shared" ref="Q28" si="21">Q25-Q26+Q27</f>
        <v>229023150.68579793</v>
      </c>
      <c r="R28" s="163">
        <f t="shared" ref="R28" si="22">R25-R26+R27</f>
        <v>233620790.43581533</v>
      </c>
      <c r="S28" s="163">
        <f t="shared" ref="S28" si="23">S25-S26+S27</f>
        <v>238310727.80381417</v>
      </c>
      <c r="T28" s="163">
        <f t="shared" ref="T28" si="24">T25-T26+T27</f>
        <v>243094815.66447556</v>
      </c>
      <c r="U28" s="163">
        <f t="shared" ref="U28" si="25">U25-U26+U27</f>
        <v>247974944.08893991</v>
      </c>
      <c r="V28" s="163">
        <f t="shared" ref="V28" si="26">V25-V26+V27</f>
        <v>252953041.09152532</v>
      </c>
      <c r="W28" s="163">
        <f t="shared" ref="W28" si="27">W25-W26+W27</f>
        <v>258031073.39143765</v>
      </c>
      <c r="X28" s="163">
        <f t="shared" ref="X28" si="28">X25-X26+X27</f>
        <v>263211047.18977058</v>
      </c>
      <c r="Y28" s="163">
        <f t="shared" ref="Y28" si="29">Y25-Y26+Y27</f>
        <v>268495008.96210527</v>
      </c>
      <c r="Z28" s="163">
        <f t="shared" ref="Z28" si="30">Z25-Z26+Z27</f>
        <v>273885046.26701963</v>
      </c>
      <c r="AA28" s="163">
        <f t="shared" ref="AA28" si="31">AA25-AA26+AA27</f>
        <v>279383288.57082987</v>
      </c>
      <c r="AB28" s="163">
        <f t="shared" ref="AB28" si="32">AB25-AB26+AB27</f>
        <v>284991908.08888912</v>
      </c>
      <c r="AC28" s="163">
        <f t="shared" ref="AC28" si="33">AC25-AC26+AC27</f>
        <v>290713120.64377356</v>
      </c>
      <c r="AD28" s="163">
        <f t="shared" ref="AD28" si="34">AD25-AD26+AD27</f>
        <v>296549186.5406971</v>
      </c>
      <c r="AE28" s="164">
        <f t="shared" ref="AE28" si="35">AE25-AE26+AE27</f>
        <v>322502411.46050191</v>
      </c>
    </row>
    <row r="29" spans="1:31" x14ac:dyDescent="0.35">
      <c r="A29" s="155"/>
      <c r="B29" s="155"/>
      <c r="AE29" s="157"/>
    </row>
    <row r="30" spans="1:31" x14ac:dyDescent="0.35">
      <c r="A30" s="181" t="s">
        <v>289</v>
      </c>
      <c r="B30" s="155"/>
      <c r="AE30" s="157"/>
    </row>
    <row r="31" spans="1:31" x14ac:dyDescent="0.35">
      <c r="A31" s="30" t="s">
        <v>188</v>
      </c>
      <c r="B31" s="155" cm="1">
        <f t="array" ref="B31:AE31">TRANSPOSE('Tanker Schedule'!D116:D145)</f>
        <v>23980000</v>
      </c>
      <c r="C31" s="156">
        <v>24562999.999999996</v>
      </c>
      <c r="D31" s="156">
        <v>25158094.499999993</v>
      </c>
      <c r="E31" s="156">
        <v>25535465.917499989</v>
      </c>
      <c r="F31" s="156">
        <v>26151997.887399986</v>
      </c>
      <c r="G31" s="156">
        <v>26544277.855710983</v>
      </c>
      <c r="H31" s="156">
        <v>27182999.541614022</v>
      </c>
      <c r="I31" s="156">
        <v>27590744.534738228</v>
      </c>
      <c r="J31" s="156">
        <v>28252434.071810264</v>
      </c>
      <c r="K31" s="156">
        <v>28676220.582887419</v>
      </c>
      <c r="L31" s="156">
        <v>29361682.87313626</v>
      </c>
      <c r="M31" s="156">
        <v>30061256.882461414</v>
      </c>
      <c r="N31" s="156">
        <v>30512175.735698327</v>
      </c>
      <c r="O31" s="156">
        <v>31236839.909421165</v>
      </c>
      <c r="P31" s="156">
        <v>31705392.508062471</v>
      </c>
      <c r="Q31" s="156">
        <v>32456024.450347364</v>
      </c>
      <c r="R31" s="156">
        <v>33222041.637586493</v>
      </c>
      <c r="S31" s="156">
        <v>33720372.26215028</v>
      </c>
      <c r="T31" s="156">
        <v>34513792.785965577</v>
      </c>
      <c r="U31" s="156">
        <v>35031499.677755058</v>
      </c>
      <c r="V31" s="156">
        <v>35853280.274362385</v>
      </c>
      <c r="W31" s="156">
        <v>36391079.478477821</v>
      </c>
      <c r="X31" s="156">
        <v>37242209.684462048</v>
      </c>
      <c r="Y31" s="156">
        <v>38110685.803743146</v>
      </c>
      <c r="Z31" s="156">
        <v>38682346.090799287</v>
      </c>
      <c r="AA31" s="156">
        <v>39581789.260065027</v>
      </c>
      <c r="AB31" s="156">
        <v>40499512.196538299</v>
      </c>
      <c r="AC31" s="156">
        <v>41107004.879486375</v>
      </c>
      <c r="AD31" s="156">
        <v>42057398.832300089</v>
      </c>
      <c r="AE31" s="157">
        <v>42688259.814784586</v>
      </c>
    </row>
    <row r="32" spans="1:31" x14ac:dyDescent="0.35">
      <c r="A32" s="30" t="s">
        <v>189</v>
      </c>
      <c r="B32" s="155" cm="1">
        <f t="array" ref="B32:AE32">TRANSPOSE('Tanker Schedule'!I116:I145)</f>
        <v>994080</v>
      </c>
      <c r="C32" s="156">
        <v>1018247.9999999999</v>
      </c>
      <c r="D32" s="156">
        <v>1042917.3719999999</v>
      </c>
      <c r="E32" s="156">
        <v>1058561.1325799995</v>
      </c>
      <c r="F32" s="156">
        <v>1084119.1851503993</v>
      </c>
      <c r="G32" s="156">
        <v>1100380.9729276553</v>
      </c>
      <c r="H32" s="156">
        <v>1126858.8900887268</v>
      </c>
      <c r="I32" s="156">
        <v>1143761.7734400574</v>
      </c>
      <c r="J32" s="156">
        <v>1171191.8124314076</v>
      </c>
      <c r="K32" s="156">
        <v>1188759.6896178785</v>
      </c>
      <c r="L32" s="156">
        <v>1217175.2172863758</v>
      </c>
      <c r="M32" s="156">
        <v>1246175.739854764</v>
      </c>
      <c r="N32" s="156">
        <v>1264868.3759525851</v>
      </c>
      <c r="O32" s="156">
        <v>1294908.9998814592</v>
      </c>
      <c r="P32" s="156">
        <v>1314332.6348796808</v>
      </c>
      <c r="Q32" s="156">
        <v>1345449.7408507636</v>
      </c>
      <c r="R32" s="156">
        <v>1377204.6351581311</v>
      </c>
      <c r="S32" s="156">
        <v>1397862.7046855027</v>
      </c>
      <c r="T32" s="156">
        <v>1430753.5918545732</v>
      </c>
      <c r="U32" s="156">
        <v>1452214.8957323916</v>
      </c>
      <c r="V32" s="156">
        <v>1486281.4368281136</v>
      </c>
      <c r="W32" s="156">
        <v>1508575.6583805352</v>
      </c>
      <c r="X32" s="156">
        <v>1543858.8741922448</v>
      </c>
      <c r="Y32" s="156">
        <v>1579861.1569551704</v>
      </c>
      <c r="Z32" s="156">
        <v>1603559.0743094978</v>
      </c>
      <c r="AA32" s="156">
        <v>1640845.0820536048</v>
      </c>
      <c r="AB32" s="156">
        <v>1678888.8692383149</v>
      </c>
      <c r="AC32" s="156">
        <v>1704072.2022768897</v>
      </c>
      <c r="AD32" s="156">
        <v>1743470.351593531</v>
      </c>
      <c r="AE32" s="157">
        <v>1769622.4068674338</v>
      </c>
    </row>
    <row r="33" spans="1:31" x14ac:dyDescent="0.35">
      <c r="A33" s="30" t="s">
        <v>190</v>
      </c>
      <c r="B33" s="158" cm="1">
        <f t="array" ref="B33:AE33">TRANSPOSE('Tanker Schedule'!D150:D179)</f>
        <v>4360000</v>
      </c>
      <c r="C33" s="159">
        <v>4465999.9999999991</v>
      </c>
      <c r="D33" s="159">
        <v>4574198.9999999981</v>
      </c>
      <c r="E33" s="159">
        <v>4642811.9849999985</v>
      </c>
      <c r="F33" s="159">
        <v>4754908.7067999979</v>
      </c>
      <c r="G33" s="159">
        <v>4826232.3374019964</v>
      </c>
      <c r="H33" s="159">
        <v>4942363.5530207315</v>
      </c>
      <c r="I33" s="159">
        <v>5016499.0063160416</v>
      </c>
      <c r="J33" s="159">
        <v>5136806.194874594</v>
      </c>
      <c r="K33" s="159">
        <v>5213858.2877977118</v>
      </c>
      <c r="L33" s="159">
        <v>5338487.7951156832</v>
      </c>
      <c r="M33" s="159">
        <v>5465683.0695384387</v>
      </c>
      <c r="N33" s="159">
        <v>5547668.3155815145</v>
      </c>
      <c r="O33" s="159">
        <v>5679425.4380765753</v>
      </c>
      <c r="P33" s="159">
        <v>5764616.8196477219</v>
      </c>
      <c r="Q33" s="159">
        <v>5901095.3546086121</v>
      </c>
      <c r="R33" s="159">
        <v>6040371.2068339074</v>
      </c>
      <c r="S33" s="159">
        <v>6130976.7749364153</v>
      </c>
      <c r="T33" s="159">
        <v>6275235.0519937426</v>
      </c>
      <c r="U33" s="159">
        <v>6369363.5777736474</v>
      </c>
      <c r="V33" s="159">
        <v>6518778.2317022523</v>
      </c>
      <c r="W33" s="159">
        <v>6616559.905177786</v>
      </c>
      <c r="X33" s="159">
        <v>6771310.8517203722</v>
      </c>
      <c r="Y33" s="159">
        <v>6929215.600680572</v>
      </c>
      <c r="Z33" s="159">
        <v>7033153.8346907794</v>
      </c>
      <c r="AA33" s="159">
        <v>7196688.9563754601</v>
      </c>
      <c r="AB33" s="159">
        <v>7363547.6720978729</v>
      </c>
      <c r="AC33" s="159">
        <v>7474000.8871793402</v>
      </c>
      <c r="AD33" s="159">
        <v>7646799.7876909245</v>
      </c>
      <c r="AE33" s="160">
        <v>7761501.7845062884</v>
      </c>
    </row>
    <row r="34" spans="1:31" x14ac:dyDescent="0.35">
      <c r="A34" s="155"/>
      <c r="B34" s="155">
        <f t="shared" ref="B34:AE34" si="36">SUM(B31:B33)</f>
        <v>29334080</v>
      </c>
      <c r="C34" s="156">
        <f t="shared" si="36"/>
        <v>30047247.999999996</v>
      </c>
      <c r="D34" s="156">
        <f t="shared" si="36"/>
        <v>30775210.871999994</v>
      </c>
      <c r="E34" s="156">
        <f t="shared" si="36"/>
        <v>31236839.03507999</v>
      </c>
      <c r="F34" s="156">
        <f t="shared" si="36"/>
        <v>31991025.779350385</v>
      </c>
      <c r="G34" s="156">
        <f t="shared" si="36"/>
        <v>32470891.166040637</v>
      </c>
      <c r="H34" s="156">
        <f t="shared" si="36"/>
        <v>33252221.984723479</v>
      </c>
      <c r="I34" s="156">
        <f t="shared" si="36"/>
        <v>33751005.314494327</v>
      </c>
      <c r="J34" s="156">
        <f t="shared" si="36"/>
        <v>34560432.079116262</v>
      </c>
      <c r="K34" s="156">
        <f t="shared" si="36"/>
        <v>35078838.56030301</v>
      </c>
      <c r="L34" s="156">
        <f t="shared" si="36"/>
        <v>35917345.885538317</v>
      </c>
      <c r="M34" s="156">
        <f t="shared" si="36"/>
        <v>36773115.691854618</v>
      </c>
      <c r="N34" s="156">
        <f t="shared" si="36"/>
        <v>37324712.427232429</v>
      </c>
      <c r="O34" s="156">
        <f t="shared" si="36"/>
        <v>38211174.3473792</v>
      </c>
      <c r="P34" s="156">
        <f t="shared" si="36"/>
        <v>38784341.962589875</v>
      </c>
      <c r="Q34" s="156">
        <f t="shared" si="36"/>
        <v>39702569.545806736</v>
      </c>
      <c r="R34" s="156">
        <f t="shared" si="36"/>
        <v>40639617.479578532</v>
      </c>
      <c r="S34" s="156">
        <f t="shared" si="36"/>
        <v>41249211.741772197</v>
      </c>
      <c r="T34" s="156">
        <f t="shared" si="36"/>
        <v>42219781.429813892</v>
      </c>
      <c r="U34" s="156">
        <f t="shared" si="36"/>
        <v>42853078.151261091</v>
      </c>
      <c r="V34" s="156">
        <f t="shared" si="36"/>
        <v>43858339.942892753</v>
      </c>
      <c r="W34" s="156">
        <f t="shared" si="36"/>
        <v>44516215.042036146</v>
      </c>
      <c r="X34" s="156">
        <f t="shared" si="36"/>
        <v>45557379.410374664</v>
      </c>
      <c r="Y34" s="156">
        <f t="shared" si="36"/>
        <v>46619762.561378889</v>
      </c>
      <c r="Z34" s="156">
        <f t="shared" si="36"/>
        <v>47319058.999799564</v>
      </c>
      <c r="AA34" s="156">
        <f t="shared" si="36"/>
        <v>48419323.298494086</v>
      </c>
      <c r="AB34" s="156">
        <f t="shared" si="36"/>
        <v>49541948.737874493</v>
      </c>
      <c r="AC34" s="156">
        <f t="shared" si="36"/>
        <v>50285077.968942605</v>
      </c>
      <c r="AD34" s="156">
        <f t="shared" si="36"/>
        <v>51447668.971584544</v>
      </c>
      <c r="AE34" s="157">
        <f t="shared" si="36"/>
        <v>52219384.006158315</v>
      </c>
    </row>
    <row r="35" spans="1:31" x14ac:dyDescent="0.35">
      <c r="A35" s="183" t="s">
        <v>282</v>
      </c>
      <c r="B35" s="155"/>
      <c r="AE35" s="157"/>
    </row>
    <row r="36" spans="1:31" x14ac:dyDescent="0.35">
      <c r="A36" s="88" t="s">
        <v>193</v>
      </c>
      <c r="B36" s="155">
        <f>Insurance_Tanker</f>
        <v>1800000</v>
      </c>
      <c r="C36" s="156">
        <f t="shared" ref="C36:AE36" si="37">B36*(Increment+Inflation_Annual)</f>
        <v>1826999.9999999998</v>
      </c>
      <c r="D36" s="156">
        <f t="shared" si="37"/>
        <v>1854404.9999999995</v>
      </c>
      <c r="E36" s="156">
        <f t="shared" si="37"/>
        <v>1882221.0749999993</v>
      </c>
      <c r="F36" s="156">
        <f t="shared" si="37"/>
        <v>1910454.3911249992</v>
      </c>
      <c r="G36" s="156">
        <f t="shared" si="37"/>
        <v>1939111.2069918739</v>
      </c>
      <c r="H36" s="156">
        <f t="shared" si="37"/>
        <v>1968197.8750967518</v>
      </c>
      <c r="I36" s="156">
        <f t="shared" si="37"/>
        <v>1997720.843223203</v>
      </c>
      <c r="J36" s="156">
        <f t="shared" si="37"/>
        <v>2027686.6558715508</v>
      </c>
      <c r="K36" s="156">
        <f t="shared" si="37"/>
        <v>2058101.9557096239</v>
      </c>
      <c r="L36" s="156">
        <f t="shared" si="37"/>
        <v>2088973.485045268</v>
      </c>
      <c r="M36" s="156">
        <f t="shared" si="37"/>
        <v>2120308.0873209466</v>
      </c>
      <c r="N36" s="156">
        <f t="shared" si="37"/>
        <v>2152112.7086307607</v>
      </c>
      <c r="O36" s="156">
        <f t="shared" si="37"/>
        <v>2184394.399260222</v>
      </c>
      <c r="P36" s="156">
        <f t="shared" si="37"/>
        <v>2217160.315249125</v>
      </c>
      <c r="Q36" s="156">
        <f t="shared" si="37"/>
        <v>2250417.7199778617</v>
      </c>
      <c r="R36" s="156">
        <f t="shared" si="37"/>
        <v>2284173.9857775294</v>
      </c>
      <c r="S36" s="156">
        <f t="shared" si="37"/>
        <v>2318436.5955641922</v>
      </c>
      <c r="T36" s="156">
        <f t="shared" si="37"/>
        <v>2353213.1444976549</v>
      </c>
      <c r="U36" s="156">
        <f t="shared" si="37"/>
        <v>2388511.3416651194</v>
      </c>
      <c r="V36" s="156">
        <f t="shared" si="37"/>
        <v>2424339.0117900958</v>
      </c>
      <c r="W36" s="156">
        <f t="shared" si="37"/>
        <v>2460704.096966947</v>
      </c>
      <c r="X36" s="156">
        <f t="shared" si="37"/>
        <v>2497614.6584214508</v>
      </c>
      <c r="Y36" s="156">
        <f t="shared" si="37"/>
        <v>2535078.8782977723</v>
      </c>
      <c r="Z36" s="156">
        <f t="shared" si="37"/>
        <v>2573105.0614722385</v>
      </c>
      <c r="AA36" s="156">
        <f t="shared" si="37"/>
        <v>2611701.6373943216</v>
      </c>
      <c r="AB36" s="156">
        <f t="shared" si="37"/>
        <v>2650877.161955236</v>
      </c>
      <c r="AC36" s="156">
        <f t="shared" si="37"/>
        <v>2690640.3193845642</v>
      </c>
      <c r="AD36" s="156">
        <f t="shared" si="37"/>
        <v>2730999.9241753323</v>
      </c>
      <c r="AE36" s="157">
        <f t="shared" si="37"/>
        <v>2771964.9230379621</v>
      </c>
    </row>
    <row r="37" spans="1:31" x14ac:dyDescent="0.35">
      <c r="A37" s="88" t="s">
        <v>290</v>
      </c>
      <c r="B37" s="155" cm="1">
        <f t="array" ref="B37:AE37">TRANSPOSE('Tanker Schedule'!B48:B77)</f>
        <v>3500000</v>
      </c>
      <c r="C37" s="156">
        <v>3552499.9999999995</v>
      </c>
      <c r="D37" s="156">
        <v>3605787.4999999991</v>
      </c>
      <c r="E37" s="156">
        <v>3659874.3124999986</v>
      </c>
      <c r="F37" s="156">
        <v>3714772.4271874982</v>
      </c>
      <c r="G37" s="156">
        <v>3770494.0135953105</v>
      </c>
      <c r="H37" s="156">
        <v>3827051.4237992396</v>
      </c>
      <c r="I37" s="156">
        <v>3884457.1951562278</v>
      </c>
      <c r="J37" s="156">
        <v>3942724.0530835707</v>
      </c>
      <c r="K37" s="156">
        <v>4001864.9138798239</v>
      </c>
      <c r="L37" s="156">
        <v>4061892.8875880209</v>
      </c>
      <c r="M37" s="156">
        <v>4122821.2809018409</v>
      </c>
      <c r="N37" s="156">
        <v>4184663.6001153681</v>
      </c>
      <c r="O37" s="156">
        <v>4247433.5541170985</v>
      </c>
      <c r="P37" s="156">
        <v>4311145.0574288545</v>
      </c>
      <c r="Q37" s="156">
        <v>4375812.2332902867</v>
      </c>
      <c r="R37" s="156">
        <v>4441449.4167896407</v>
      </c>
      <c r="S37" s="156">
        <v>4508071.1580414847</v>
      </c>
      <c r="T37" s="156">
        <v>4575692.2254121061</v>
      </c>
      <c r="U37" s="156">
        <v>4644327.6087932875</v>
      </c>
      <c r="V37" s="156">
        <v>4713992.522925186</v>
      </c>
      <c r="W37" s="156">
        <v>4784702.410769063</v>
      </c>
      <c r="X37" s="156">
        <v>4856472.9469305985</v>
      </c>
      <c r="Y37" s="156">
        <v>4929320.0411345568</v>
      </c>
      <c r="Z37" s="156">
        <v>5003259.8417515745</v>
      </c>
      <c r="AA37" s="156">
        <v>5078308.7393778479</v>
      </c>
      <c r="AB37" s="156">
        <v>5154483.370468515</v>
      </c>
      <c r="AC37" s="156">
        <v>5231800.6210255418</v>
      </c>
      <c r="AD37" s="156">
        <v>5310277.6303409245</v>
      </c>
      <c r="AE37" s="157">
        <v>5389931.7947960375</v>
      </c>
    </row>
    <row r="38" spans="1:31" x14ac:dyDescent="0.35">
      <c r="A38" s="88" t="s">
        <v>196</v>
      </c>
      <c r="B38" s="155">
        <f>General_Tanker</f>
        <v>2000000</v>
      </c>
      <c r="C38" s="156">
        <f t="shared" ref="C38:AE38" si="38">B38*(Increment+Inflation_Annual)</f>
        <v>2029999.9999999998</v>
      </c>
      <c r="D38" s="156">
        <f t="shared" si="38"/>
        <v>2060449.9999999995</v>
      </c>
      <c r="E38" s="156">
        <f t="shared" si="38"/>
        <v>2091356.7499999993</v>
      </c>
      <c r="F38" s="156">
        <f t="shared" si="38"/>
        <v>2122727.1012499989</v>
      </c>
      <c r="G38" s="156">
        <f t="shared" si="38"/>
        <v>2154568.0077687488</v>
      </c>
      <c r="H38" s="156">
        <f t="shared" si="38"/>
        <v>2186886.5278852796</v>
      </c>
      <c r="I38" s="156">
        <f t="shared" si="38"/>
        <v>2219689.8258035588</v>
      </c>
      <c r="J38" s="156">
        <f t="shared" si="38"/>
        <v>2252985.1731906119</v>
      </c>
      <c r="K38" s="156">
        <f t="shared" si="38"/>
        <v>2286779.9507884709</v>
      </c>
      <c r="L38" s="156">
        <f t="shared" si="38"/>
        <v>2321081.6500502978</v>
      </c>
      <c r="M38" s="156">
        <f t="shared" si="38"/>
        <v>2355897.8748010523</v>
      </c>
      <c r="N38" s="156">
        <f t="shared" si="38"/>
        <v>2391236.342923068</v>
      </c>
      <c r="O38" s="156">
        <f t="shared" si="38"/>
        <v>2427104.8880669139</v>
      </c>
      <c r="P38" s="156">
        <f t="shared" si="38"/>
        <v>2463511.4613879174</v>
      </c>
      <c r="Q38" s="156">
        <f t="shared" si="38"/>
        <v>2500464.1333087361</v>
      </c>
      <c r="R38" s="156">
        <f t="shared" si="38"/>
        <v>2537971.0953083672</v>
      </c>
      <c r="S38" s="156">
        <f t="shared" si="38"/>
        <v>2576040.6617379924</v>
      </c>
      <c r="T38" s="156">
        <f t="shared" si="38"/>
        <v>2614681.271664062</v>
      </c>
      <c r="U38" s="156">
        <f t="shared" si="38"/>
        <v>2653901.4907390228</v>
      </c>
      <c r="V38" s="156">
        <f t="shared" si="38"/>
        <v>2693710.0131001081</v>
      </c>
      <c r="W38" s="156">
        <f t="shared" si="38"/>
        <v>2734115.6632966097</v>
      </c>
      <c r="X38" s="156">
        <f t="shared" si="38"/>
        <v>2775127.3982460587</v>
      </c>
      <c r="Y38" s="156">
        <f t="shared" si="38"/>
        <v>2816754.3092197492</v>
      </c>
      <c r="Z38" s="156">
        <f t="shared" si="38"/>
        <v>2859005.6238580453</v>
      </c>
      <c r="AA38" s="156">
        <f t="shared" si="38"/>
        <v>2901890.7082159156</v>
      </c>
      <c r="AB38" s="156">
        <f t="shared" si="38"/>
        <v>2945419.0688391542</v>
      </c>
      <c r="AC38" s="156">
        <f t="shared" si="38"/>
        <v>2989600.354871741</v>
      </c>
      <c r="AD38" s="156">
        <f t="shared" si="38"/>
        <v>3034444.3601948167</v>
      </c>
      <c r="AE38" s="157">
        <f t="shared" si="38"/>
        <v>3079961.0255977386</v>
      </c>
    </row>
    <row r="39" spans="1:31" x14ac:dyDescent="0.35">
      <c r="A39" s="88" t="s">
        <v>197</v>
      </c>
      <c r="B39" s="155">
        <f>Stores_Spares_Lube</f>
        <v>2000000</v>
      </c>
      <c r="C39" s="156">
        <f t="shared" ref="C39:AE39" si="39">B39*(Increment+Inflation_Annual)</f>
        <v>2029999.9999999998</v>
      </c>
      <c r="D39" s="156">
        <f t="shared" si="39"/>
        <v>2060449.9999999995</v>
      </c>
      <c r="E39" s="156">
        <f t="shared" si="39"/>
        <v>2091356.7499999993</v>
      </c>
      <c r="F39" s="156">
        <f t="shared" si="39"/>
        <v>2122727.1012499989</v>
      </c>
      <c r="G39" s="156">
        <f t="shared" si="39"/>
        <v>2154568.0077687488</v>
      </c>
      <c r="H39" s="156">
        <f t="shared" si="39"/>
        <v>2186886.5278852796</v>
      </c>
      <c r="I39" s="156">
        <f t="shared" si="39"/>
        <v>2219689.8258035588</v>
      </c>
      <c r="J39" s="156">
        <f t="shared" si="39"/>
        <v>2252985.1731906119</v>
      </c>
      <c r="K39" s="156">
        <f t="shared" si="39"/>
        <v>2286779.9507884709</v>
      </c>
      <c r="L39" s="156">
        <f t="shared" si="39"/>
        <v>2321081.6500502978</v>
      </c>
      <c r="M39" s="156">
        <f t="shared" si="39"/>
        <v>2355897.8748010523</v>
      </c>
      <c r="N39" s="156">
        <f t="shared" si="39"/>
        <v>2391236.342923068</v>
      </c>
      <c r="O39" s="156">
        <f t="shared" si="39"/>
        <v>2427104.8880669139</v>
      </c>
      <c r="P39" s="156">
        <f t="shared" si="39"/>
        <v>2463511.4613879174</v>
      </c>
      <c r="Q39" s="156">
        <f t="shared" si="39"/>
        <v>2500464.1333087361</v>
      </c>
      <c r="R39" s="156">
        <f t="shared" si="39"/>
        <v>2537971.0953083672</v>
      </c>
      <c r="S39" s="156">
        <f t="shared" si="39"/>
        <v>2576040.6617379924</v>
      </c>
      <c r="T39" s="156">
        <f t="shared" si="39"/>
        <v>2614681.271664062</v>
      </c>
      <c r="U39" s="156">
        <f t="shared" si="39"/>
        <v>2653901.4907390228</v>
      </c>
      <c r="V39" s="156">
        <f t="shared" si="39"/>
        <v>2693710.0131001081</v>
      </c>
      <c r="W39" s="156">
        <f t="shared" si="39"/>
        <v>2734115.6632966097</v>
      </c>
      <c r="X39" s="156">
        <f t="shared" si="39"/>
        <v>2775127.3982460587</v>
      </c>
      <c r="Y39" s="156">
        <f t="shared" si="39"/>
        <v>2816754.3092197492</v>
      </c>
      <c r="Z39" s="156">
        <f t="shared" si="39"/>
        <v>2859005.6238580453</v>
      </c>
      <c r="AA39" s="156">
        <f t="shared" si="39"/>
        <v>2901890.7082159156</v>
      </c>
      <c r="AB39" s="156">
        <f t="shared" si="39"/>
        <v>2945419.0688391542</v>
      </c>
      <c r="AC39" s="156">
        <f t="shared" si="39"/>
        <v>2989600.354871741</v>
      </c>
      <c r="AD39" s="156">
        <f t="shared" si="39"/>
        <v>3034444.3601948167</v>
      </c>
      <c r="AE39" s="157">
        <f t="shared" si="39"/>
        <v>3079961.0255977386</v>
      </c>
    </row>
    <row r="40" spans="1:31" x14ac:dyDescent="0.35">
      <c r="A40" s="88" t="s">
        <v>198</v>
      </c>
      <c r="B40" s="158">
        <f>Carbon_Offset_Tanker</f>
        <v>33000000</v>
      </c>
      <c r="C40" s="159">
        <f t="shared" ref="C40:AE40" si="40">B40*(Increment+Inflation_Carbon_Offset)</f>
        <v>34287000</v>
      </c>
      <c r="D40" s="159">
        <f t="shared" si="40"/>
        <v>35624193</v>
      </c>
      <c r="E40" s="159">
        <f t="shared" si="40"/>
        <v>37013536.526999995</v>
      </c>
      <c r="F40" s="159">
        <f t="shared" si="40"/>
        <v>38457064.451552995</v>
      </c>
      <c r="G40" s="159">
        <f t="shared" si="40"/>
        <v>39956889.965163559</v>
      </c>
      <c r="H40" s="159">
        <f t="shared" si="40"/>
        <v>41515208.673804931</v>
      </c>
      <c r="I40" s="159">
        <f t="shared" si="40"/>
        <v>43134301.812083319</v>
      </c>
      <c r="J40" s="159">
        <f t="shared" si="40"/>
        <v>44816539.582754567</v>
      </c>
      <c r="K40" s="159">
        <f t="shared" si="40"/>
        <v>46564384.626481995</v>
      </c>
      <c r="L40" s="159">
        <f t="shared" si="40"/>
        <v>48380395.626914792</v>
      </c>
      <c r="M40" s="159">
        <f t="shared" si="40"/>
        <v>50267231.056364462</v>
      </c>
      <c r="N40" s="159">
        <f t="shared" si="40"/>
        <v>52227653.06756267</v>
      </c>
      <c r="O40" s="159">
        <f t="shared" si="40"/>
        <v>54264531.537197612</v>
      </c>
      <c r="P40" s="159">
        <f t="shared" si="40"/>
        <v>56380848.267148316</v>
      </c>
      <c r="Q40" s="159">
        <f t="shared" si="40"/>
        <v>58579701.349567093</v>
      </c>
      <c r="R40" s="159">
        <f t="shared" si="40"/>
        <v>60864309.702200204</v>
      </c>
      <c r="S40" s="159">
        <f t="shared" si="40"/>
        <v>63238017.780586004</v>
      </c>
      <c r="T40" s="159">
        <f t="shared" si="40"/>
        <v>65704300.474028856</v>
      </c>
      <c r="U40" s="159">
        <f t="shared" si="40"/>
        <v>68266768.192515969</v>
      </c>
      <c r="V40" s="159">
        <f t="shared" si="40"/>
        <v>70929172.15202409</v>
      </c>
      <c r="W40" s="159">
        <f t="shared" si="40"/>
        <v>73695409.865953028</v>
      </c>
      <c r="X40" s="159">
        <f t="shared" si="40"/>
        <v>76569530.850725189</v>
      </c>
      <c r="Y40" s="159">
        <f t="shared" si="40"/>
        <v>79555742.553903461</v>
      </c>
      <c r="Z40" s="159">
        <f t="shared" si="40"/>
        <v>82658416.513505682</v>
      </c>
      <c r="AA40" s="159">
        <f t="shared" si="40"/>
        <v>85882094.757532403</v>
      </c>
      <c r="AB40" s="159">
        <f t="shared" si="40"/>
        <v>89231496.453076154</v>
      </c>
      <c r="AC40" s="159">
        <f t="shared" si="40"/>
        <v>92711524.814746112</v>
      </c>
      <c r="AD40" s="159">
        <f t="shared" si="40"/>
        <v>96327274.282521203</v>
      </c>
      <c r="AE40" s="160">
        <f t="shared" si="40"/>
        <v>100084037.97953953</v>
      </c>
    </row>
    <row r="41" spans="1:31" x14ac:dyDescent="0.35">
      <c r="A41" s="88"/>
      <c r="B41" s="155">
        <f>SUM(B36:B40)</f>
        <v>42300000</v>
      </c>
      <c r="C41" s="156">
        <f t="shared" ref="C41:AE41" si="41">SUM(C36:C40)</f>
        <v>43726500</v>
      </c>
      <c r="D41" s="156">
        <f t="shared" si="41"/>
        <v>45205285.5</v>
      </c>
      <c r="E41" s="156">
        <f t="shared" si="41"/>
        <v>46738345.414499991</v>
      </c>
      <c r="F41" s="156">
        <f t="shared" si="41"/>
        <v>48327745.472365491</v>
      </c>
      <c r="G41" s="156">
        <f t="shared" si="41"/>
        <v>49975631.201288238</v>
      </c>
      <c r="H41" s="156">
        <f t="shared" si="41"/>
        <v>51684231.028471485</v>
      </c>
      <c r="I41" s="156">
        <f t="shared" si="41"/>
        <v>53455859.502069868</v>
      </c>
      <c r="J41" s="156">
        <f t="shared" si="41"/>
        <v>55292920.638090909</v>
      </c>
      <c r="K41" s="156">
        <f t="shared" si="41"/>
        <v>57197911.397648387</v>
      </c>
      <c r="L41" s="156">
        <f t="shared" si="41"/>
        <v>59173425.299648672</v>
      </c>
      <c r="M41" s="156">
        <f t="shared" si="41"/>
        <v>61222156.174189359</v>
      </c>
      <c r="N41" s="156">
        <f t="shared" si="41"/>
        <v>63346902.062154934</v>
      </c>
      <c r="O41" s="156">
        <f t="shared" si="41"/>
        <v>65550569.266708761</v>
      </c>
      <c r="P41" s="156">
        <f t="shared" si="41"/>
        <v>67836176.562602133</v>
      </c>
      <c r="Q41" s="156">
        <f t="shared" si="41"/>
        <v>70206859.569452718</v>
      </c>
      <c r="R41" s="156">
        <f t="shared" si="41"/>
        <v>72665875.295384109</v>
      </c>
      <c r="S41" s="156">
        <f t="shared" si="41"/>
        <v>75216606.85766767</v>
      </c>
      <c r="T41" s="156">
        <f t="shared" si="41"/>
        <v>77862568.38726674</v>
      </c>
      <c r="U41" s="156">
        <f t="shared" si="41"/>
        <v>80607410.124452427</v>
      </c>
      <c r="V41" s="156">
        <f t="shared" si="41"/>
        <v>83454923.71293959</v>
      </c>
      <c r="W41" s="156">
        <f t="shared" si="41"/>
        <v>86409047.700282261</v>
      </c>
      <c r="X41" s="156">
        <f t="shared" si="41"/>
        <v>89473873.252569363</v>
      </c>
      <c r="Y41" s="156">
        <f t="shared" si="41"/>
        <v>92653650.091775283</v>
      </c>
      <c r="Z41" s="156">
        <f t="shared" si="41"/>
        <v>95952792.664445579</v>
      </c>
      <c r="AA41" s="156">
        <f t="shared" si="41"/>
        <v>99375886.550736398</v>
      </c>
      <c r="AB41" s="156">
        <f t="shared" si="41"/>
        <v>102927695.12317821</v>
      </c>
      <c r="AC41" s="156">
        <f t="shared" si="41"/>
        <v>106613166.4648997</v>
      </c>
      <c r="AD41" s="156">
        <f t="shared" si="41"/>
        <v>110437440.55742709</v>
      </c>
      <c r="AE41" s="157">
        <f t="shared" si="41"/>
        <v>114405856.74856901</v>
      </c>
    </row>
    <row r="42" spans="1:31" x14ac:dyDescent="0.35">
      <c r="A42" s="155"/>
      <c r="B42" s="158"/>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c r="AA42" s="159"/>
      <c r="AB42" s="159"/>
      <c r="AC42" s="159"/>
      <c r="AD42" s="159"/>
      <c r="AE42" s="157"/>
    </row>
    <row r="43" spans="1:31" x14ac:dyDescent="0.35">
      <c r="A43" s="184" t="s">
        <v>286</v>
      </c>
      <c r="B43" s="158">
        <f>B28-B34-B41</f>
        <v>98345920</v>
      </c>
      <c r="C43" s="158">
        <f t="shared" ref="C43:AE43" si="42">C28-C34-C41</f>
        <v>99618600.5</v>
      </c>
      <c r="D43" s="158">
        <f t="shared" si="42"/>
        <v>100892703.52413738</v>
      </c>
      <c r="E43" s="158">
        <f t="shared" si="42"/>
        <v>102448744.93447241</v>
      </c>
      <c r="F43" s="158">
        <f t="shared" si="42"/>
        <v>103727168.51472127</v>
      </c>
      <c r="G43" s="158">
        <f t="shared" si="42"/>
        <v>105294139.63991953</v>
      </c>
      <c r="H43" s="158">
        <f t="shared" si="42"/>
        <v>106573102.78384884</v>
      </c>
      <c r="I43" s="158">
        <f t="shared" si="42"/>
        <v>108147245.31310526</v>
      </c>
      <c r="J43" s="158">
        <f t="shared" si="42"/>
        <v>109422491.17331532</v>
      </c>
      <c r="K43" s="158">
        <f t="shared" si="42"/>
        <v>110999556.49867323</v>
      </c>
      <c r="L43" s="158">
        <f t="shared" si="42"/>
        <v>112266307.12355447</v>
      </c>
      <c r="M43" s="158">
        <f t="shared" si="42"/>
        <v>113524499.78974527</v>
      </c>
      <c r="N43" s="158">
        <f t="shared" si="42"/>
        <v>115094416.58239187</v>
      </c>
      <c r="O43" s="158">
        <f t="shared" si="42"/>
        <v>116335790.53145704</v>
      </c>
      <c r="P43" s="158">
        <f t="shared" si="42"/>
        <v>117895473.61832479</v>
      </c>
      <c r="Q43" s="158">
        <f t="shared" si="42"/>
        <v>119113721.57053848</v>
      </c>
      <c r="R43" s="158">
        <f t="shared" si="42"/>
        <v>120315297.6608527</v>
      </c>
      <c r="S43" s="158">
        <f t="shared" si="42"/>
        <v>121844909.2043743</v>
      </c>
      <c r="T43" s="158">
        <f t="shared" si="42"/>
        <v>123012465.84739493</v>
      </c>
      <c r="U43" s="158">
        <f t="shared" si="42"/>
        <v>124514455.81322639</v>
      </c>
      <c r="V43" s="158">
        <f t="shared" si="42"/>
        <v>125639777.43569297</v>
      </c>
      <c r="W43" s="158">
        <f t="shared" si="42"/>
        <v>127105810.64911924</v>
      </c>
      <c r="X43" s="158">
        <f t="shared" si="42"/>
        <v>128179794.52682655</v>
      </c>
      <c r="Y43" s="158">
        <f t="shared" si="42"/>
        <v>129221596.30895109</v>
      </c>
      <c r="Z43" s="158">
        <f t="shared" si="42"/>
        <v>130613194.6027745</v>
      </c>
      <c r="AA43" s="158">
        <f t="shared" si="42"/>
        <v>131588078.72159937</v>
      </c>
      <c r="AB43" s="158">
        <f t="shared" si="42"/>
        <v>132522264.2278364</v>
      </c>
      <c r="AC43" s="158">
        <f t="shared" si="42"/>
        <v>133814876.20993124</v>
      </c>
      <c r="AD43" s="158">
        <f t="shared" si="42"/>
        <v>134664077.01168543</v>
      </c>
      <c r="AE43" s="175">
        <f t="shared" si="42"/>
        <v>155877170.70577461</v>
      </c>
    </row>
    <row r="45" spans="1:31" x14ac:dyDescent="0.35">
      <c r="A45" s="9" t="s">
        <v>291</v>
      </c>
      <c r="B45"/>
      <c r="C45"/>
      <c r="D45"/>
      <c r="E45"/>
      <c r="F45"/>
    </row>
    <row r="46" spans="1:31" x14ac:dyDescent="0.35">
      <c r="A46" s="53" t="s">
        <v>292</v>
      </c>
      <c r="B46" s="187" t="s">
        <v>293</v>
      </c>
      <c r="C46" s="140" t="s">
        <v>294</v>
      </c>
      <c r="D46" s="185" t="s">
        <v>295</v>
      </c>
      <c r="E46" s="140" t="s">
        <v>296</v>
      </c>
      <c r="F46" s="186" t="s">
        <v>295</v>
      </c>
    </row>
    <row r="47" spans="1:31" x14ac:dyDescent="0.35">
      <c r="A47" s="188" t="s">
        <v>174</v>
      </c>
      <c r="B47" s="189">
        <f>Increment-Set_Up_Year</f>
        <v>0</v>
      </c>
      <c r="C47" s="10" cm="1">
        <f t="array" ref="C47">-(Pipeline_TotalCost)</f>
        <v>-520000000</v>
      </c>
      <c r="D47" s="10" cm="1">
        <f t="array" ref="D47">Nil</f>
        <v>0</v>
      </c>
      <c r="E47" s="210">
        <f>-(Building_Cost_Tanker)</f>
        <v>-250000000</v>
      </c>
      <c r="F47" s="11" cm="1">
        <f t="array" ref="F47">Nil</f>
        <v>0</v>
      </c>
    </row>
    <row r="48" spans="1:31" x14ac:dyDescent="0.35">
      <c r="A48" s="188" t="s">
        <v>176</v>
      </c>
      <c r="B48" s="190">
        <f>Set_Up_Year</f>
        <v>1</v>
      </c>
      <c r="C48" s="10" cm="1">
        <f t="array" ref="C48:C77">TRANSPOSE(B20:AE20)</f>
        <v>86408333.333333328</v>
      </c>
      <c r="D48" s="10">
        <f>C48*(Increment/(Increment+Discount_Rate)^B48)</f>
        <v>83084935.897435889</v>
      </c>
      <c r="E48" s="210" cm="1">
        <f t="array" ref="E48:E77">TRANSPOSE(B43:AE43)</f>
        <v>98345920</v>
      </c>
      <c r="F48" s="11">
        <f t="shared" ref="F48:F77" si="43">E48*(Increment/(Increment+Discount_Rate)^B48)</f>
        <v>94563384.615384609</v>
      </c>
    </row>
    <row r="49" spans="1:6" x14ac:dyDescent="0.35">
      <c r="A49" s="188" t="s">
        <v>178</v>
      </c>
      <c r="B49" s="190">
        <f>Set_Up_Year+Increment</f>
        <v>2</v>
      </c>
      <c r="C49" s="10">
        <v>88222108.333333224</v>
      </c>
      <c r="D49" s="10">
        <f t="shared" ref="D49:D77" si="44">C49*(Increment/(Increment+Discount_Rate)^B49)</f>
        <v>81566298.385108367</v>
      </c>
      <c r="E49" s="210">
        <v>99618600.5</v>
      </c>
      <c r="F49" s="11">
        <f t="shared" si="43"/>
        <v>92102996.024408266</v>
      </c>
    </row>
    <row r="50" spans="1:6" x14ac:dyDescent="0.35">
      <c r="A50" s="188" t="s">
        <v>179</v>
      </c>
      <c r="B50" s="190">
        <f t="shared" ref="B50:B77" si="45">B49+Increment</f>
        <v>3</v>
      </c>
      <c r="C50" s="10">
        <v>90073481.782083362</v>
      </c>
      <c r="D50" s="10">
        <f t="shared" si="44"/>
        <v>80074997.317083091</v>
      </c>
      <c r="E50" s="210">
        <v>100892703.52413738</v>
      </c>
      <c r="F50" s="11">
        <f t="shared" si="43"/>
        <v>89693246.049422309</v>
      </c>
    </row>
    <row r="51" spans="1:6" x14ac:dyDescent="0.35">
      <c r="A51" s="188" t="s">
        <v>180</v>
      </c>
      <c r="B51" s="190">
        <f t="shared" si="45"/>
        <v>4</v>
      </c>
      <c r="C51" s="10">
        <v>91963226.2721764</v>
      </c>
      <c r="D51" s="10">
        <f t="shared" si="44"/>
        <v>78610551.238071367</v>
      </c>
      <c r="E51" s="210">
        <v>102448744.93447241</v>
      </c>
      <c r="F51" s="11">
        <f t="shared" si="43"/>
        <v>87573616.535722405</v>
      </c>
    </row>
    <row r="52" spans="1:6" x14ac:dyDescent="0.35">
      <c r="A52" s="188" t="s">
        <v>297</v>
      </c>
      <c r="B52" s="190">
        <f t="shared" si="45"/>
        <v>5</v>
      </c>
      <c r="C52" s="10">
        <v>93892130.17305769</v>
      </c>
      <c r="D52" s="10">
        <f t="shared" si="44"/>
        <v>77172486.900613725</v>
      </c>
      <c r="E52" s="210">
        <v>103727168.51472127</v>
      </c>
      <c r="F52" s="11">
        <f t="shared" si="43"/>
        <v>85256171.509644568</v>
      </c>
    </row>
    <row r="53" spans="1:6" x14ac:dyDescent="0.35">
      <c r="A53" s="188" t="s">
        <v>298</v>
      </c>
      <c r="B53" s="190">
        <f t="shared" si="45"/>
        <v>6</v>
      </c>
      <c r="C53" s="10">
        <v>95860997.951751128</v>
      </c>
      <c r="D53" s="10">
        <f t="shared" si="44"/>
        <v>75760339.132256657</v>
      </c>
      <c r="E53" s="210">
        <v>105294139.63991953</v>
      </c>
      <c r="F53" s="11">
        <f t="shared" si="43"/>
        <v>83215488.031686738</v>
      </c>
    </row>
    <row r="54" spans="1:6" x14ac:dyDescent="0.35">
      <c r="A54" s="188" t="s">
        <v>299</v>
      </c>
      <c r="B54" s="190">
        <f t="shared" si="45"/>
        <v>7</v>
      </c>
      <c r="C54" s="10">
        <v>97870650.500084132</v>
      </c>
      <c r="D54" s="10">
        <f t="shared" si="44"/>
        <v>74373650.704687357</v>
      </c>
      <c r="E54" s="210">
        <v>106573102.78384884</v>
      </c>
      <c r="F54" s="11">
        <f t="shared" si="43"/>
        <v>80986799.213661134</v>
      </c>
    </row>
    <row r="55" spans="1:6" x14ac:dyDescent="0.35">
      <c r="A55" s="188" t="s">
        <v>300</v>
      </c>
      <c r="B55" s="190">
        <f t="shared" si="45"/>
        <v>8</v>
      </c>
      <c r="C55" s="10">
        <v>99921925.468541533</v>
      </c>
      <c r="D55" s="10">
        <f t="shared" si="44"/>
        <v>73011972.204801559</v>
      </c>
      <c r="E55" s="210">
        <v>108147245.31310526</v>
      </c>
      <c r="F55" s="11">
        <f t="shared" si="43"/>
        <v>79022132.848232716</v>
      </c>
    </row>
    <row r="56" spans="1:6" x14ac:dyDescent="0.35">
      <c r="A56" s="188" t="s">
        <v>301</v>
      </c>
      <c r="B56" s="190">
        <f t="shared" si="45"/>
        <v>9</v>
      </c>
      <c r="C56" s="10">
        <v>102015677.60688578</v>
      </c>
      <c r="D56" s="10">
        <f t="shared" si="44"/>
        <v>71674861.907684267</v>
      </c>
      <c r="E56" s="210">
        <v>109422491.17331532</v>
      </c>
      <c r="F56" s="11">
        <f t="shared" si="43"/>
        <v>76878790.872363001</v>
      </c>
    </row>
    <row r="57" spans="1:6" x14ac:dyDescent="0.35">
      <c r="A57" s="188" t="s">
        <v>302</v>
      </c>
      <c r="B57" s="190">
        <f t="shared" si="45"/>
        <v>10</v>
      </c>
      <c r="C57" s="10">
        <v>104152779.1116758</v>
      </c>
      <c r="D57" s="10">
        <f t="shared" si="44"/>
        <v>70361885.651476249</v>
      </c>
      <c r="E57" s="210">
        <v>110999556.49867323</v>
      </c>
      <c r="F57" s="11">
        <f t="shared" si="43"/>
        <v>74987323.126058444</v>
      </c>
    </row>
    <row r="58" spans="1:6" x14ac:dyDescent="0.35">
      <c r="A58" s="188" t="s">
        <v>303</v>
      </c>
      <c r="B58" s="190">
        <f t="shared" si="45"/>
        <v>11</v>
      </c>
      <c r="C58" s="10">
        <v>106334119.98082682</v>
      </c>
      <c r="D58" s="10">
        <f t="shared" si="44"/>
        <v>69072616.714105785</v>
      </c>
      <c r="E58" s="210">
        <v>112266307.12355447</v>
      </c>
      <c r="F58" s="11">
        <f t="shared" si="43"/>
        <v>72926052.364486456</v>
      </c>
    </row>
    <row r="59" spans="1:6" x14ac:dyDescent="0.35">
      <c r="A59" s="188" t="s">
        <v>304</v>
      </c>
      <c r="B59" s="190">
        <f t="shared" si="45"/>
        <v>12</v>
      </c>
      <c r="C59" s="10">
        <v>108560608.37535357</v>
      </c>
      <c r="D59" s="10">
        <f t="shared" si="44"/>
        <v>67806635.691862747</v>
      </c>
      <c r="E59" s="210">
        <v>113524499.78974527</v>
      </c>
      <c r="F59" s="11">
        <f t="shared" si="43"/>
        <v>70907067.62372762</v>
      </c>
    </row>
    <row r="60" spans="1:6" x14ac:dyDescent="0.35">
      <c r="A60" s="188" t="s">
        <v>305</v>
      </c>
      <c r="B60" s="190">
        <f t="shared" si="45"/>
        <v>13</v>
      </c>
      <c r="C60" s="10">
        <v>110833170.98843879</v>
      </c>
      <c r="D60" s="10">
        <f t="shared" si="44"/>
        <v>66563530.379790127</v>
      </c>
      <c r="E60" s="210">
        <v>115094416.58239187</v>
      </c>
      <c r="F60" s="11">
        <f t="shared" si="43"/>
        <v>69122724.058173925</v>
      </c>
    </row>
    <row r="61" spans="1:6" x14ac:dyDescent="0.35">
      <c r="A61" s="188" t="s">
        <v>306</v>
      </c>
      <c r="B61" s="190">
        <f t="shared" si="45"/>
        <v>14</v>
      </c>
      <c r="C61" s="10">
        <v>113152753.42198126</v>
      </c>
      <c r="D61" s="10">
        <f t="shared" si="44"/>
        <v>65342895.653874002</v>
      </c>
      <c r="E61" s="210">
        <v>116335790.53145704</v>
      </c>
      <c r="F61" s="11">
        <f t="shared" si="43"/>
        <v>67181020.272293404</v>
      </c>
    </row>
    <row r="62" spans="1:6" x14ac:dyDescent="0.35">
      <c r="A62" s="188" t="s">
        <v>307</v>
      </c>
      <c r="B62" s="190">
        <f t="shared" si="45"/>
        <v>15</v>
      </c>
      <c r="C62" s="10">
        <v>115520320.57076637</v>
      </c>
      <c r="D62" s="10">
        <f t="shared" si="44"/>
        <v>64144333.355004676</v>
      </c>
      <c r="E62" s="210">
        <v>117895473.61832479</v>
      </c>
      <c r="F62" s="11">
        <f t="shared" si="43"/>
        <v>65463171.530825116</v>
      </c>
    </row>
    <row r="63" spans="1:6" x14ac:dyDescent="0.35">
      <c r="A63" s="188" t="s">
        <v>308</v>
      </c>
      <c r="B63" s="190">
        <f t="shared" si="45"/>
        <v>16</v>
      </c>
      <c r="C63" s="10">
        <v>117936857.01442038</v>
      </c>
      <c r="D63" s="10">
        <f t="shared" si="44"/>
        <v>62967452.174691066</v>
      </c>
      <c r="E63" s="210">
        <v>119113721.57053848</v>
      </c>
      <c r="F63" s="11">
        <f t="shared" si="43"/>
        <v>63595789.782877408</v>
      </c>
    </row>
    <row r="64" spans="1:6" x14ac:dyDescent="0.35">
      <c r="A64" s="188" t="s">
        <v>309</v>
      </c>
      <c r="B64" s="190">
        <f t="shared" si="45"/>
        <v>17</v>
      </c>
      <c r="C64" s="10">
        <v>120403367.41730405</v>
      </c>
      <c r="D64" s="10">
        <f t="shared" si="44"/>
        <v>61811867.542504653</v>
      </c>
      <c r="E64" s="210">
        <v>120315297.6608527</v>
      </c>
      <c r="F64" s="11">
        <f t="shared" si="43"/>
        <v>61766654.885773852</v>
      </c>
    </row>
    <row r="65" spans="1:6" x14ac:dyDescent="0.35">
      <c r="A65" s="188" t="s">
        <v>310</v>
      </c>
      <c r="B65" s="190">
        <f t="shared" si="45"/>
        <v>18</v>
      </c>
      <c r="C65" s="10">
        <v>122920876.9365004</v>
      </c>
      <c r="D65" s="10">
        <f t="shared" si="44"/>
        <v>60677201.515228085</v>
      </c>
      <c r="E65" s="210">
        <v>121844909.2043743</v>
      </c>
      <c r="F65" s="11">
        <f t="shared" si="43"/>
        <v>60146073.585349865</v>
      </c>
    </row>
    <row r="66" spans="1:6" x14ac:dyDescent="0.35">
      <c r="A66" s="188" t="s">
        <v>311</v>
      </c>
      <c r="B66" s="190">
        <f t="shared" si="45"/>
        <v>19</v>
      </c>
      <c r="C66" s="10">
        <v>125490431.63806911</v>
      </c>
      <c r="D66" s="10">
        <f t="shared" si="44"/>
        <v>59563082.667691581</v>
      </c>
      <c r="E66" s="210">
        <v>123012465.84739493</v>
      </c>
      <c r="F66" s="11">
        <f t="shared" si="43"/>
        <v>58386934.978094637</v>
      </c>
    </row>
    <row r="67" spans="1:6" x14ac:dyDescent="0.35">
      <c r="A67" s="188" t="s">
        <v>312</v>
      </c>
      <c r="B67" s="190">
        <f t="shared" si="45"/>
        <v>20</v>
      </c>
      <c r="C67" s="10">
        <v>128113098.92172757</v>
      </c>
      <c r="D67" s="10">
        <f t="shared" si="44"/>
        <v>58469145.98527129</v>
      </c>
      <c r="E67" s="210">
        <v>124514455.81322639</v>
      </c>
      <c r="F67" s="11">
        <f t="shared" si="43"/>
        <v>56826772.246514104</v>
      </c>
    </row>
    <row r="68" spans="1:6" x14ac:dyDescent="0.35">
      <c r="A68" s="188" t="s">
        <v>313</v>
      </c>
      <c r="B68" s="190">
        <f t="shared" si="45"/>
        <v>21</v>
      </c>
      <c r="C68" s="10">
        <v>130789967.9541333</v>
      </c>
      <c r="D68" s="10">
        <f t="shared" si="44"/>
        <v>57395032.758030511</v>
      </c>
      <c r="E68" s="210">
        <v>125639777.43569297</v>
      </c>
      <c r="F68" s="11">
        <f t="shared" si="43"/>
        <v>55134956.10123644</v>
      </c>
    </row>
    <row r="69" spans="1:6" x14ac:dyDescent="0.35">
      <c r="A69" s="188" t="s">
        <v>314</v>
      </c>
      <c r="B69" s="190">
        <f t="shared" si="45"/>
        <v>22</v>
      </c>
      <c r="C69" s="10">
        <v>133522150.11093852</v>
      </c>
      <c r="D69" s="10">
        <f t="shared" si="44"/>
        <v>56340390.476480886</v>
      </c>
      <c r="E69" s="210">
        <v>127105810.64911924</v>
      </c>
      <c r="F69" s="11">
        <f t="shared" si="43"/>
        <v>53632981.477987416</v>
      </c>
    </row>
    <row r="70" spans="1:6" x14ac:dyDescent="0.35">
      <c r="A70" s="188" t="s">
        <v>315</v>
      </c>
      <c r="B70" s="190">
        <f t="shared" si="45"/>
        <v>23</v>
      </c>
      <c r="C70" s="10">
        <v>136310779.42779306</v>
      </c>
      <c r="D70" s="10">
        <f t="shared" si="44"/>
        <v>55304872.728941783</v>
      </c>
      <c r="E70" s="210">
        <v>128179794.52682655</v>
      </c>
      <c r="F70" s="11">
        <f t="shared" si="43"/>
        <v>52005918.038809538</v>
      </c>
    </row>
    <row r="71" spans="1:6" x14ac:dyDescent="0.35">
      <c r="A71" s="188" t="s">
        <v>316</v>
      </c>
      <c r="B71" s="190">
        <f t="shared" si="45"/>
        <v>24</v>
      </c>
      <c r="C71" s="10">
        <v>139157013.06048369</v>
      </c>
      <c r="D71" s="10">
        <f t="shared" si="44"/>
        <v>54288139.100480199</v>
      </c>
      <c r="E71" s="210">
        <v>129221596.30895109</v>
      </c>
      <c r="F71" s="11">
        <f>E71*(Increment/(Increment+Discount_Rate)^B71)</f>
        <v>50412119.669149011</v>
      </c>
    </row>
    <row r="72" spans="1:6" x14ac:dyDescent="0.35">
      <c r="A72" s="188" t="s">
        <v>317</v>
      </c>
      <c r="B72" s="190">
        <f t="shared" si="45"/>
        <v>25</v>
      </c>
      <c r="C72" s="10">
        <v>142062031.7543866</v>
      </c>
      <c r="D72" s="10">
        <f t="shared" si="44"/>
        <v>53289855.073406562</v>
      </c>
      <c r="E72" s="210">
        <v>130613194.6027745</v>
      </c>
      <c r="F72" s="11">
        <f t="shared" si="43"/>
        <v>48995203.891567446</v>
      </c>
    </row>
    <row r="73" spans="1:6" x14ac:dyDescent="0.35">
      <c r="A73" s="188" t="s">
        <v>318</v>
      </c>
      <c r="B73" s="190">
        <f t="shared" si="45"/>
        <v>26</v>
      </c>
      <c r="C73" s="10">
        <v>145027040.3234196</v>
      </c>
      <c r="D73" s="10">
        <f t="shared" si="44"/>
        <v>52309691.929305606</v>
      </c>
      <c r="E73" s="210">
        <v>131588078.72159937</v>
      </c>
      <c r="F73" s="11">
        <f t="shared" si="43"/>
        <v>47462403.177681938</v>
      </c>
    </row>
    <row r="74" spans="1:6" x14ac:dyDescent="0.35">
      <c r="A74" s="188" t="s">
        <v>319</v>
      </c>
      <c r="B74" s="190">
        <f t="shared" si="45"/>
        <v>27</v>
      </c>
      <c r="C74" s="10">
        <v>148053268.13869956</v>
      </c>
      <c r="D74" s="10">
        <f t="shared" si="44"/>
        <v>51347326.652586572</v>
      </c>
      <c r="E74" s="210">
        <v>132522264.2278364</v>
      </c>
      <c r="F74" s="11">
        <f t="shared" si="43"/>
        <v>45960917.145525932</v>
      </c>
    </row>
    <row r="75" spans="1:6" x14ac:dyDescent="0.35">
      <c r="A75" s="188" t="s">
        <v>320</v>
      </c>
      <c r="B75" s="190">
        <f t="shared" si="45"/>
        <v>28</v>
      </c>
      <c r="C75" s="10">
        <v>151141969.62708327</v>
      </c>
      <c r="D75" s="10">
        <f t="shared" si="44"/>
        <v>50402441.835526064</v>
      </c>
      <c r="E75" s="210">
        <v>133814876.20993124</v>
      </c>
      <c r="F75" s="11">
        <f t="shared" si="43"/>
        <v>44624246.538140975</v>
      </c>
    </row>
    <row r="76" spans="1:6" x14ac:dyDescent="0.35">
      <c r="A76" s="188" t="s">
        <v>321</v>
      </c>
      <c r="B76" s="190">
        <f t="shared" si="45"/>
        <v>29</v>
      </c>
      <c r="C76" s="10">
        <v>154294424.77980399</v>
      </c>
      <c r="D76" s="10">
        <f t="shared" si="44"/>
        <v>49474725.58478763</v>
      </c>
      <c r="E76" s="210">
        <v>134664077.01168543</v>
      </c>
      <c r="F76" s="11">
        <f t="shared" si="43"/>
        <v>43180226.802037455</v>
      </c>
    </row>
    <row r="77" spans="1:6" x14ac:dyDescent="0.35">
      <c r="A77" s="191" t="s">
        <v>322</v>
      </c>
      <c r="B77" s="192">
        <f t="shared" si="45"/>
        <v>30</v>
      </c>
      <c r="C77" s="10">
        <v>172511939.6714021</v>
      </c>
      <c r="D77" s="10">
        <f t="shared" si="44"/>
        <v>53188651.448997743</v>
      </c>
      <c r="E77" s="211">
        <v>155877170.70577461</v>
      </c>
      <c r="F77" s="11">
        <f t="shared" si="43"/>
        <v>48059841.639469884</v>
      </c>
    </row>
    <row r="78" spans="1:6" x14ac:dyDescent="0.35">
      <c r="A78" s="9"/>
      <c r="B78"/>
      <c r="C78" s="212" t="s">
        <v>8</v>
      </c>
      <c r="D78" s="213">
        <f>NPV(Discount_Rate,D48:D77)-C47</f>
        <v>1693869344.5739114</v>
      </c>
      <c r="E78" s="212" t="s">
        <v>8</v>
      </c>
      <c r="F78" s="213">
        <f>SUM(F47:F77)</f>
        <v>1980071024.6363063</v>
      </c>
    </row>
    <row r="79" spans="1:6" x14ac:dyDescent="0.35">
      <c r="A79"/>
      <c r="B79"/>
      <c r="C79"/>
      <c r="D79"/>
      <c r="E79"/>
      <c r="F7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60</vt:i4>
      </vt:variant>
    </vt:vector>
  </HeadingPairs>
  <TitlesOfParts>
    <vt:vector size="68" baseType="lpstr">
      <vt:lpstr>Cover Page</vt:lpstr>
      <vt:lpstr>Inputs</vt:lpstr>
      <vt:lpstr>Pipeline Schedule</vt:lpstr>
      <vt:lpstr>Tanker Schedule</vt:lpstr>
      <vt:lpstr>Cash Budget</vt:lpstr>
      <vt:lpstr>Statement of Income</vt:lpstr>
      <vt:lpstr>Statement of Financial Position</vt:lpstr>
      <vt:lpstr>NPV (Y2-Y31)</vt:lpstr>
      <vt:lpstr>Annual_Depreciation_Tanker</vt:lpstr>
      <vt:lpstr>Base_NG_Demand</vt:lpstr>
      <vt:lpstr>Building_Cost_Pipeline</vt:lpstr>
      <vt:lpstr>Building_Cost_Tanker</vt:lpstr>
      <vt:lpstr>Carbon_Offset_Tanker</vt:lpstr>
      <vt:lpstr>Contract_Mgmt_Fees</vt:lpstr>
      <vt:lpstr>Conv_Factor</vt:lpstr>
      <vt:lpstr>D_i_Y</vt:lpstr>
      <vt:lpstr>Days_Apr</vt:lpstr>
      <vt:lpstr>Days_Aug</vt:lpstr>
      <vt:lpstr>Days_Dec</vt:lpstr>
      <vt:lpstr>Days_Feb</vt:lpstr>
      <vt:lpstr>Days_Jan</vt:lpstr>
      <vt:lpstr>Days_Jul</vt:lpstr>
      <vt:lpstr>Days_Jun</vt:lpstr>
      <vt:lpstr>Days_Mar</vt:lpstr>
      <vt:lpstr>Days_May</vt:lpstr>
      <vt:lpstr>Days_Nov</vt:lpstr>
      <vt:lpstr>Days_Oct</vt:lpstr>
      <vt:lpstr>Days_Sept</vt:lpstr>
      <vt:lpstr>Demand_Increase</vt:lpstr>
      <vt:lpstr>Discount_Rate</vt:lpstr>
      <vt:lpstr>Employee_Deduction_Rate</vt:lpstr>
      <vt:lpstr>Employer_Social_Insurance_Rate</vt:lpstr>
      <vt:lpstr>First_Yr</vt:lpstr>
      <vt:lpstr>Fuel_Pipeline</vt:lpstr>
      <vt:lpstr>General_Main_Eng</vt:lpstr>
      <vt:lpstr>General_Pipeline</vt:lpstr>
      <vt:lpstr>General_Tanker</vt:lpstr>
      <vt:lpstr>Heavy_Fuel_Oil</vt:lpstr>
      <vt:lpstr>Increment</vt:lpstr>
      <vt:lpstr>Inflation_Annual</vt:lpstr>
      <vt:lpstr>Inflation_Carbon_Offset</vt:lpstr>
      <vt:lpstr>Insurance_Cov</vt:lpstr>
      <vt:lpstr>Insurance_Pipeline</vt:lpstr>
      <vt:lpstr>Insurance_Tanker</vt:lpstr>
      <vt:lpstr>LNG_Tanker_Cap</vt:lpstr>
      <vt:lpstr>Loan_Payment_Term</vt:lpstr>
      <vt:lpstr>M_i_Y</vt:lpstr>
      <vt:lpstr>Min_Cash_Balance</vt:lpstr>
      <vt:lpstr>Nil</vt:lpstr>
      <vt:lpstr>Operating_Exp</vt:lpstr>
      <vt:lpstr>Operations_Mgmt</vt:lpstr>
      <vt:lpstr>Pipeline_TotalCost</vt:lpstr>
      <vt:lpstr>Port_Fees</vt:lpstr>
      <vt:lpstr>Purch_price_LNG</vt:lpstr>
      <vt:lpstr>Purch_price_NG</vt:lpstr>
      <vt:lpstr>Salvage_Val_Pipeline</vt:lpstr>
      <vt:lpstr>Salvage_Val_Tanker</vt:lpstr>
      <vt:lpstr>SBU_Insurance</vt:lpstr>
      <vt:lpstr>Sell_price_LNG</vt:lpstr>
      <vt:lpstr>Sell_price_NG</vt:lpstr>
      <vt:lpstr>Set_Up_Year</vt:lpstr>
      <vt:lpstr>Stores_Spares_Lube</vt:lpstr>
      <vt:lpstr>Tons_Req_a_Trip</vt:lpstr>
      <vt:lpstr>Total_Crew_Costs</vt:lpstr>
      <vt:lpstr>Total_Years</vt:lpstr>
      <vt:lpstr>Useful_Life</vt:lpstr>
      <vt:lpstr>Y3_Port_Repair</vt:lpstr>
      <vt:lpstr>Y5_Carbon_Increase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isuna@student.ubc.ca</dc:creator>
  <cp:keywords/>
  <dc:description/>
  <cp:lastModifiedBy>Danny Huynh</cp:lastModifiedBy>
  <cp:revision/>
  <dcterms:created xsi:type="dcterms:W3CDTF">2025-08-06T01:21:57Z</dcterms:created>
  <dcterms:modified xsi:type="dcterms:W3CDTF">2026-05-03T21:29:43Z</dcterms:modified>
  <cp:category/>
  <cp:contentStatus/>
</cp:coreProperties>
</file>